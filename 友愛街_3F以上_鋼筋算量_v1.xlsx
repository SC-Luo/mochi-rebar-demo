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7a3ff59e9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d5506cadfb064b3d"/>
    <x:sheet xmlns:r="http://schemas.openxmlformats.org/officeDocument/2006/relationships" name="料件明細" sheetId="2" r:id="Rc79766778e2b447b"/>
    <x:sheet xmlns:r="http://schemas.openxmlformats.org/officeDocument/2006/relationships" name="規格與範圍" sheetId="3" r:id="R0de17d2f073f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#,##0"/>
    <x:numFmt numFmtId="202" formatCode="0"/>
    <x:numFmt numFmtId="203" formatCode="#,##0.000"/>
    <x:numFmt numFmtId="204" formatCode="0.000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1F4E78"/>
      <x:name val="Arial"/>
    </x:font>
    <x:font>
      <x:b/>
      <x:sz val="10"/>
      <x:color rgb="FF375623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8FBFD"/>
      </x:patternFill>
    </x:fill>
    <x:fill>
      <x:patternFill patternType="solid">
        <x:fgColor rgb="FFF3F8FC"/>
      </x:patternFill>
    </x:fill>
  </x:fills>
  <x:borders count="7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vertical="center"/>
    </x:xf>
    <x:xf numFmtId="201" fontId="4" fillId="3" borderId="4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5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/>
    <x:xf numFmtId="201" fontId="1" fillId="0" borderId="4" xfId="0" applyNumberFormat="1" applyFont="1" applyFill="1" applyBorder="1"/>
    <x:xf numFmtId="201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7" borderId="6" xfId="0" applyNumberFormat="1" applyFont="1" applyFill="1" applyBorder="1" applyAlignment="1">
      <x:alignment vertical="center"/>
    </x:xf>
    <x:xf numFmtId="201" fontId="1" fillId="7" borderId="6" xfId="0" applyNumberFormat="1" applyFont="1" applyFill="1" applyBorder="1" applyAlignment="1">
      <x:alignment vertical="center"/>
    </x:xf>
    <x:xf numFmtId="203" fontId="1" fillId="8" borderId="6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horizontal="center"/>
    </x:xf>
    <x:xf numFmtId="204" fontId="1" fillId="0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0fac3f6504708" /><Relationship Type="http://schemas.openxmlformats.org/officeDocument/2006/relationships/theme" Target="/xl/theme/theme1.xml" Id="Rbdae31dff7fe42ec" /><Relationship Type="http://schemas.openxmlformats.org/officeDocument/2006/relationships/sharedStrings" Target="/xl/sharedStrings.xml" Id="R113a56f9277c4cd2" /><Relationship Type="http://schemas.openxmlformats.org/officeDocument/2006/relationships/worksheet" Target="/xl/worksheets/sheet1.xml" Id="Rd5506cadfb064b3d" /><Relationship Type="http://schemas.openxmlformats.org/officeDocument/2006/relationships/worksheet" Target="/xl/worksheets/sheet2.xml" Id="Rc79766778e2b447b" /><Relationship Type="http://schemas.openxmlformats.org/officeDocument/2006/relationships/worksheet" Target="/xl/worksheets/sheet3.xml" Id="R0de17d2f073f4e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3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18" hidden="0" customHeight="1">
      <x:c r="A1" s="50" t="str">
        <x:v>友愛街 3F以上 鋼筋算量總覽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15" hidden="0" customHeight="1">
      <x:c r="A2" s="52" t="str">
        <x:v>範圍：3F梁版／柱牆、4F梁版／柱牆、5F梁版／柱牆、RF梁版及以上；僅含鋼筋。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</x:row>
    <x:row r="3" ht="15" hidden="0" customHeight="1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</x:row>
    <x:row r="4" ht="15" hidden="0" customHeight="1">
      <x:c r="A4" s="53" t="str">
        <x:v>主要結果</x:v>
      </x:c>
      <x:c r="B4" s="54"/>
      <x:c r="C4" s="54"/>
      <x:c r="D4" s="54"/>
      <x:c r="E4" s="54"/>
      <x:c r="F4" s="54"/>
      <x:c r="G4" s="54"/>
      <x:c r="H4" s="55"/>
      <x:c r="I4" s="51"/>
      <x:c r="J4" s="51"/>
      <x:c r="K4" s="51"/>
      <x:c r="L4" s="51"/>
      <x:c r="M4" s="51"/>
      <x:c r="N4" s="51"/>
      <x:c r="O4" s="51"/>
    </x:row>
    <x:row r="5" ht="15" hidden="0" customHeight="1">
      <x:c r="A5" s="11" t="str">
        <x:v>重算總重 (kg)</x:v>
      </x:c>
      <x:c r="B5" s="17" t="n">
        <x:f>SUM('料件明細'!$N$5:$N$449)</x:f>
        <x:v>55812.19524000005</x:v>
      </x:c>
      <x:c r="C5" s="17" t="str">
        <x:v>原料單總重 (kg)</x:v>
      </x:c>
      <x:c r="D5" s="17" t="n">
        <x:v>55812</x:v>
      </x:c>
      <x:c r="E5" s="11" t="str">
        <x:v>整體差異 (kg)</x:v>
      </x:c>
      <x:c r="F5" s="18" t="n">
        <x:f>ROUND(B5,0)-D5</x:f>
        <x:v>0</x:v>
      </x:c>
      <x:c r="G5" s="11" t="str">
        <x:v>明細筆數</x:v>
      </x:c>
      <x:c r="H5" s="19" t="n">
        <x:f>COUNT('料件明細'!$G$5:$G$449)</x:f>
        <x:v>445</x:v>
      </x:c>
      <x:c r="I5" s="51"/>
      <x:c r="J5" s="51"/>
      <x:c r="K5" s="51"/>
      <x:c r="L5" s="51"/>
      <x:c r="M5" s="51"/>
      <x:c r="N5" s="51"/>
      <x:c r="O5" s="51"/>
    </x:row>
    <x:row r="6" ht="15" hidden="0" customHeight="1">
      <x:c r="A6" s="12" t="str">
        <x:v>工作表數</x:v>
      </x:c>
      <x:c r="B6" s="12" t="n">
        <x:v>7</x:v>
      </x:c>
      <x:c r="C6" s="12" t="str">
        <x:v>處理範圍</x:v>
      </x:c>
      <x:c r="D6" s="12" t="str">
        <x:v>3F 至 RF</x:v>
      </x:c>
      <x:c r="E6" s="12" t="str">
        <x:v>未納入</x:v>
      </x:c>
      <x:c r="F6" s="12" t="str">
        <x:v>1F、2F、基礎</x:v>
      </x:c>
      <x:c r="G6" s="12" t="str">
        <x:v>結果狀態</x:v>
      </x:c>
      <x:c r="H6" s="16" t="str">
        <x:f>IF(F5=0,"與原料單一致","需覆核差異")</x:f>
        <x:v>與原料單一致</x:v>
      </x:c>
      <x:c r="I6" s="51"/>
      <x:c r="J6" s="51"/>
      <x:c r="K6" s="51"/>
      <x:c r="L6" s="51"/>
      <x:c r="M6" s="51"/>
      <x:c r="N6" s="51"/>
      <x:c r="O6" s="51"/>
    </x:row>
    <x:row r="7" ht="15" hidden="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</x:row>
    <x:row r="8" ht="15" hidden="0" customHeight="1">
      <x:c r="A8" s="53" t="str">
        <x:v>按樓層與部位覆核</x:v>
      </x:c>
      <x:c r="B8" s="54"/>
      <x:c r="C8" s="54"/>
      <x:c r="D8" s="54"/>
      <x:c r="E8" s="54"/>
      <x:c r="F8" s="54"/>
      <x:c r="G8" s="54"/>
      <x:c r="H8" s="55"/>
      <x:c r="I8" s="51"/>
      <x:c r="J8" s="53" t="str">
        <x:v>按鋼筋號數彙總</x:v>
      </x:c>
      <x:c r="K8" s="54"/>
      <x:c r="L8" s="54"/>
      <x:c r="M8" s="55"/>
      <x:c r="N8" s="51"/>
      <x:c r="O8" s="51"/>
    </x:row>
    <x:row r="9" ht="15" hidden="0" customHeight="1">
      <x:c r="A9" s="25" t="str">
        <x:v>工作表</x:v>
      </x:c>
      <x:c r="B9" s="25" t="str">
        <x:v>樓層</x:v>
      </x:c>
      <x:c r="C9" s="25" t="str">
        <x:v>部位</x:v>
      </x:c>
      <x:c r="D9" s="25" t="str">
        <x:v>明細筆數</x:v>
      </x:c>
      <x:c r="E9" s="25" t="str">
        <x:v>重算重量 (kg)</x:v>
      </x:c>
      <x:c r="F9" s="25" t="str">
        <x:v>原料單 (kg)</x:v>
      </x:c>
      <x:c r="G9" s="25" t="str">
        <x:v>差異 (kg)</x:v>
      </x:c>
      <x:c r="H9" s="25" t="str">
        <x:v>覆核</x:v>
      </x:c>
      <x:c r="I9" s="51"/>
      <x:c r="J9" s="25" t="str">
        <x:v>規格</x:v>
      </x:c>
      <x:c r="K9" s="25" t="str">
        <x:v>明細筆數</x:v>
      </x:c>
      <x:c r="L9" s="25" t="str">
        <x:v>總長度 (m)</x:v>
      </x:c>
      <x:c r="M9" s="25" t="str">
        <x:v>總重 (kg)</x:v>
      </x:c>
      <x:c r="N9" s="51"/>
      <x:c r="O9" s="51"/>
    </x:row>
    <x:row r="10" ht="15" hidden="0" customHeight="1">
      <x:c r="A10" s="10" t="str">
        <x:v>01</x:v>
      </x:c>
      <x:c r="B10" s="10" t="str">
        <x:v>3F</x:v>
      </x:c>
      <x:c r="C10" s="10" t="str">
        <x:v>梁版</x:v>
      </x:c>
      <x:c r="D10" s="28" t="n">
        <x:f>COUNTIFS('料件明細'!$A$5:$A$449,A10)</x:f>
        <x:v>75</x:v>
      </x:c>
      <x:c r="E10" s="29" t="n">
        <x:f>SUMIFS('料件明細'!$N$5:$N$449,'料件明細'!$A$5:$A$449,A10)</x:f>
        <x:v>9163.987470000004</x:v>
      </x:c>
      <x:c r="F10" s="29" t="n">
        <x:v>9164</x:v>
      </x:c>
      <x:c r="G10" s="29" t="n">
        <x:f>ROUND(E10,0)-F10</x:f>
        <x:v>0</x:v>
      </x:c>
      <x:c r="H10" s="30" t="str">
        <x:f>IF(G10=0,"一致","需覆核")</x:f>
        <x:v>一致</x:v>
      </x:c>
      <x:c r="I10" s="51"/>
      <x:c r="J10" s="10" t="n">
        <x:v>3</x:v>
      </x:c>
      <x:c r="K10" s="28" t="n">
        <x:f>COUNTIFS('料件明細'!$G$5:$G$449,J10)</x:f>
        <x:v>194</x:v>
      </x:c>
      <x:c r="L10" s="29" t="n">
        <x:f>SUMPRODUCT(('料件明細'!$G$5:$G$449=J10)*'料件明細'!$H$5:$H$449*'料件明細'!$I$5:$I$449/100)</x:f>
        <x:v>27106.300000000007</x:v>
      </x:c>
      <x:c r="M10" s="29" t="n">
        <x:f>SUMIFS('料件明細'!$N$5:$N$449,'料件明細'!$G$5:$G$449,J10)</x:f>
        <x:v>15152.421700000004</x:v>
      </x:c>
      <x:c r="N10" s="51"/>
      <x:c r="O10" s="51"/>
    </x:row>
    <x:row r="11" ht="15" hidden="0" customHeight="1">
      <x:c r="A11" s="10" t="str">
        <x:v>02</x:v>
      </x:c>
      <x:c r="B11" s="10" t="str">
        <x:v>3F</x:v>
      </x:c>
      <x:c r="C11" s="10" t="str">
        <x:v>柱牆</x:v>
      </x:c>
      <x:c r="D11" s="28" t="n">
        <x:f>COUNTIFS('料件明細'!$A$5:$A$449,A11)</x:f>
        <x:v>44</x:v>
      </x:c>
      <x:c r="E11" s="29" t="n">
        <x:f>SUMIFS('料件明細'!$N$5:$N$449,'料件明細'!$A$5:$A$449,A11)</x:f>
        <x:v>7348.61206</x:v>
      </x:c>
      <x:c r="F11" s="29" t="n">
        <x:v>7349</x:v>
      </x:c>
      <x:c r="G11" s="29" t="n">
        <x:f>ROUND(E11,0)-F11</x:f>
        <x:v>0</x:v>
      </x:c>
      <x:c r="H11" s="30" t="str">
        <x:f>IF(G11=0,"一致","需覆核")</x:f>
        <x:v>一致</x:v>
      </x:c>
      <x:c r="I11" s="51"/>
      <x:c r="J11" s="10" t="n">
        <x:v>4</x:v>
      </x:c>
      <x:c r="K11" s="28" t="n">
        <x:f>COUNTIFS('料件明細'!$G$5:$G$449,J11)</x:f>
        <x:v>128</x:v>
      </x:c>
      <x:c r="L11" s="29" t="n">
        <x:f>SUMPRODUCT(('料件明細'!$G$5:$G$449=J11)*'料件明細'!$H$5:$H$449*'料件明細'!$I$5:$I$449/100)</x:f>
        <x:v>22431.410000000003</x:v>
      </x:c>
      <x:c r="M11" s="29" t="n">
        <x:f>SUMIFS('料件明細'!$N$5:$N$449,'料件明細'!$G$5:$G$449,J11)</x:f>
        <x:v>22296.821540000004</x:v>
      </x:c>
      <x:c r="N11" s="51"/>
      <x:c r="O11" s="51"/>
    </x:row>
    <x:row r="12" ht="15" hidden="0" customHeight="1">
      <x:c r="A12" s="10" t="str">
        <x:v>03</x:v>
      </x:c>
      <x:c r="B12" s="10" t="str">
        <x:v>4F</x:v>
      </x:c>
      <x:c r="C12" s="10" t="str">
        <x:v>梁版</x:v>
      </x:c>
      <x:c r="D12" s="28" t="n">
        <x:f>COUNTIFS('料件明細'!$A$5:$A$449,A12)</x:f>
        <x:v>78</x:v>
      </x:c>
      <x:c r="E12" s="29" t="n">
        <x:f>SUMIFS('料件明細'!$N$5:$N$449,'料件明細'!$A$5:$A$449,A12)</x:f>
        <x:v>9135.4142</x:v>
      </x:c>
      <x:c r="F12" s="29" t="n">
        <x:v>9135</x:v>
      </x:c>
      <x:c r="G12" s="29" t="n">
        <x:f>ROUND(E12,0)-F12</x:f>
        <x:v>0</x:v>
      </x:c>
      <x:c r="H12" s="30" t="str">
        <x:f>IF(G12=0,"一致","需覆核")</x:f>
        <x:v>一致</x:v>
      </x:c>
      <x:c r="I12" s="51"/>
      <x:c r="J12" s="10" t="n">
        <x:v>5</x:v>
      </x:c>
      <x:c r="K12" s="28" t="n">
        <x:f>COUNTIFS('料件明細'!$G$5:$G$449,J12)</x:f>
        <x:v>6</x:v>
      </x:c>
      <x:c r="L12" s="29" t="n">
        <x:f>SUMPRODUCT(('料件明細'!$G$5:$G$449=J12)*'料件明細'!$H$5:$H$449*'料件明細'!$I$5:$I$449/100)</x:f>
        <x:v>199.20000000000005</x:v>
      </x:c>
      <x:c r="M12" s="29" t="n">
        <x:f>SUMIFS('料件明細'!$N$5:$N$449,'料件明細'!$G$5:$G$449,J12)</x:f>
        <x:v>310.752</x:v>
      </x:c>
      <x:c r="N12" s="51"/>
      <x:c r="O12" s="51"/>
    </x:row>
    <x:row r="13" ht="15" hidden="0" customHeight="1">
      <x:c r="A13" s="10" t="str">
        <x:v>04</x:v>
      </x:c>
      <x:c r="B13" s="10" t="str">
        <x:v>4F</x:v>
      </x:c>
      <x:c r="C13" s="10" t="str">
        <x:v>柱牆</x:v>
      </x:c>
      <x:c r="D13" s="28" t="n">
        <x:f>COUNTIFS('料件明細'!$A$5:$A$449,A13)</x:f>
        <x:v>49</x:v>
      </x:c>
      <x:c r="E13" s="29" t="n">
        <x:f>SUMIFS('料件明細'!$N$5:$N$449,'料件明細'!$A$5:$A$449,A13)</x:f>
        <x:v>6894.186089999999</x:v>
      </x:c>
      <x:c r="F13" s="29" t="n">
        <x:v>6894</x:v>
      </x:c>
      <x:c r="G13" s="29" t="n">
        <x:f>ROUND(E13,0)-F13</x:f>
        <x:v>0</x:v>
      </x:c>
      <x:c r="H13" s="30" t="str">
        <x:f>IF(G13=0,"一致","需覆核")</x:f>
        <x:v>一致</x:v>
      </x:c>
      <x:c r="I13" s="51"/>
      <x:c r="J13" s="10" t="n">
        <x:v>6</x:v>
      </x:c>
      <x:c r="K13" s="28" t="n">
        <x:f>COUNTIFS('料件明細'!$G$5:$G$449,J13)</x:f>
        <x:v>46</x:v>
      </x:c>
      <x:c r="L13" s="29" t="n">
        <x:f>SUMPRODUCT(('料件明細'!$G$5:$G$449=J13)*'料件明細'!$H$5:$H$449*'料件明細'!$I$5:$I$449/100)</x:f>
        <x:v>942.8999999999999</x:v>
      </x:c>
      <x:c r="M13" s="29" t="n">
        <x:f>SUMIFS('料件明細'!$N$5:$N$449,'料件明細'!$G$5:$G$449,J13)</x:f>
        <x:v>2121.5249999999996</x:v>
      </x:c>
      <x:c r="N13" s="51"/>
      <x:c r="O13" s="51"/>
    </x:row>
    <x:row r="14" ht="15" hidden="0" customHeight="1">
      <x:c r="A14" s="10" t="str">
        <x:v>05</x:v>
      </x:c>
      <x:c r="B14" s="10" t="str">
        <x:v>5F</x:v>
      </x:c>
      <x:c r="C14" s="10" t="str">
        <x:v>梁版</x:v>
      </x:c>
      <x:c r="D14" s="28" t="n">
        <x:f>COUNTIFS('料件明細'!$A$5:$A$449,A14)</x:f>
        <x:v>88</x:v>
      </x:c>
      <x:c r="E14" s="29" t="n">
        <x:f>SUMIFS('料件明細'!$N$5:$N$449,'料件明細'!$A$5:$A$449,A14)</x:f>
        <x:v>10745.8412</x:v>
      </x:c>
      <x:c r="F14" s="29" t="n">
        <x:v>10746</x:v>
      </x:c>
      <x:c r="G14" s="29" t="n">
        <x:f>ROUND(E14,0)-F14</x:f>
        <x:v>0</x:v>
      </x:c>
      <x:c r="H14" s="30" t="str">
        <x:f>IF(G14=0,"一致","需覆核")</x:f>
        <x:v>一致</x:v>
      </x:c>
      <x:c r="I14" s="51"/>
      <x:c r="J14" s="10" t="n">
        <x:v>7</x:v>
      </x:c>
      <x:c r="K14" s="28" t="n">
        <x:f>COUNTIFS('料件明細'!$G$5:$G$449,J14)</x:f>
        <x:v>24</x:v>
      </x:c>
      <x:c r="L14" s="29" t="n">
        <x:f>SUMPRODUCT(('料件明細'!$G$5:$G$449=J14)*'料件明細'!$H$5:$H$449*'料件明細'!$I$5:$I$449/100)</x:f>
        <x:v>1316.9</x:v>
      </x:c>
      <x:c r="M14" s="29" t="n">
        <x:f>SUMIFS('料件明細'!$N$5:$N$449,'料件明細'!$G$5:$G$449,J14)</x:f>
        <x:v>4016.5449999999996</x:v>
      </x:c>
      <x:c r="N14" s="51"/>
      <x:c r="O14" s="51"/>
    </x:row>
    <x:row r="15" ht="15" hidden="0" customHeight="1">
      <x:c r="A15" s="10" t="str">
        <x:v>06</x:v>
      </x:c>
      <x:c r="B15" s="10" t="str">
        <x:v>5F</x:v>
      </x:c>
      <x:c r="C15" s="10" t="str">
        <x:v>柱牆</x:v>
      </x:c>
      <x:c r="D15" s="28" t="n">
        <x:f>COUNTIFS('料件明細'!$A$5:$A$449,A15)</x:f>
        <x:v>47</x:v>
      </x:c>
      <x:c r="E15" s="29" t="n">
        <x:f>SUMIFS('料件明細'!$N$5:$N$449,'料件明細'!$A$5:$A$449,A15)</x:f>
        <x:v>5240.644960000002</x:v>
      </x:c>
      <x:c r="F15" s="29" t="n">
        <x:v>5241</x:v>
      </x:c>
      <x:c r="G15" s="29" t="n">
        <x:f>ROUND(E15,0)-F15</x:f>
        <x:v>0</x:v>
      </x:c>
      <x:c r="H15" s="30" t="str">
        <x:f>IF(G15=0,"一致","需覆核")</x:f>
        <x:v>一致</x:v>
      </x:c>
      <x:c r="I15" s="51"/>
      <x:c r="J15" s="10" t="n">
        <x:v>8</x:v>
      </x:c>
      <x:c r="K15" s="28" t="n">
        <x:f>COUNTIFS('料件明細'!$G$5:$G$449,J15)</x:f>
        <x:v>47</x:v>
      </x:c>
      <x:c r="L15" s="29" t="n">
        <x:f>SUMPRODUCT(('料件明細'!$G$5:$G$449=J15)*'料件明細'!$H$5:$H$449*'料件明細'!$I$5:$I$449/100)</x:f>
        <x:v>2993.4999999999995</x:v>
      </x:c>
      <x:c r="M15" s="29" t="n">
        <x:f>SUMIFS('料件明細'!$N$5:$N$449,'料件明細'!$G$5:$G$449,J15)</x:f>
        <x:v>11914.130000000001</x:v>
      </x:c>
      <x:c r="N15" s="51"/>
      <x:c r="O15" s="51"/>
    </x:row>
    <x:row r="16" ht="15" hidden="0" customHeight="1">
      <x:c r="A16" s="10" t="str">
        <x:v>07</x:v>
      </x:c>
      <x:c r="B16" s="10" t="str">
        <x:v>RF</x:v>
      </x:c>
      <x:c r="C16" s="10" t="str">
        <x:v>梁版及以上</x:v>
      </x:c>
      <x:c r="D16" s="28" t="n">
        <x:f>COUNTIFS('料件明細'!$A$5:$A$449,A16)</x:f>
        <x:v>64</x:v>
      </x:c>
      <x:c r="E16" s="29" t="n">
        <x:f>SUMIFS('料件明細'!$N$5:$N$449,'料件明細'!$A$5:$A$449,A16)</x:f>
        <x:v>7283.509259999997</x:v>
      </x:c>
      <x:c r="F16" s="29" t="n">
        <x:v>7284</x:v>
      </x:c>
      <x:c r="G16" s="29" t="n">
        <x:f>ROUND(E16,0)-F16</x:f>
        <x:v>0</x:v>
      </x:c>
      <x:c r="H16" s="30" t="str">
        <x:f>IF(G16=0,"一致","需覆核")</x:f>
        <x:v>一致</x:v>
      </x:c>
      <x:c r="I16" s="51"/>
      <x:c r="J16" s="10" t="n">
        <x:v>9</x:v>
      </x:c>
      <x:c r="K16" s="28" t="n">
        <x:f>COUNTIFS('料件明細'!$G$5:$G$449,J16)</x:f>
        <x:v>0</x:v>
      </x:c>
      <x:c r="L16" s="29" t="n">
        <x:f>SUMPRODUCT(('料件明細'!$G$5:$G$449=J16)*'料件明細'!$H$5:$H$449*'料件明細'!$I$5:$I$449/100)</x:f>
        <x:v>0</x:v>
      </x:c>
      <x:c r="M16" s="29" t="n">
        <x:f>SUMIFS('料件明細'!$N$5:$N$449,'料件明細'!$G$5:$G$449,J16)</x:f>
        <x:v>0</x:v>
      </x:c>
      <x:c r="N16" s="51"/>
      <x:c r="O16" s="51"/>
    </x:row>
    <x:row r="17" ht="15" hidden="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10" t="n">
        <x:v>10</x:v>
      </x:c>
      <x:c r="K17" s="28" t="n">
        <x:f>COUNTIFS('料件明細'!$G$5:$G$449,J17)</x:f>
        <x:v>0</x:v>
      </x:c>
      <x:c r="L17" s="29" t="n">
        <x:f>SUMPRODUCT(('料件明細'!$G$5:$G$449=J17)*'料件明細'!$H$5:$H$449*'料件明細'!$I$5:$I$449/100)</x:f>
        <x:v>0</x:v>
      </x:c>
      <x:c r="M17" s="29" t="n">
        <x:f>SUMIFS('料件明細'!$N$5:$N$449,'料件明細'!$G$5:$G$449,J17)</x:f>
        <x:v>0</x:v>
      </x:c>
      <x:c r="N17" s="51"/>
      <x:c r="O17" s="51"/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10" t="n">
        <x:v>11</x:v>
      </x:c>
      <x:c r="K18" s="28" t="n">
        <x:f>COUNTIFS('料件明細'!$G$5:$G$449,J18)</x:f>
        <x:v>0</x:v>
      </x:c>
      <x:c r="L18" s="29" t="n">
        <x:f>SUMPRODUCT(('料件明細'!$G$5:$G$449=J18)*'料件明細'!$H$5:$H$449*'料件明細'!$I$5:$I$449/100)</x:f>
        <x:v>0</x:v>
      </x:c>
      <x:c r="M18" s="29" t="n">
        <x:f>SUMIFS('料件明細'!$N$5:$N$449,'料件明細'!$G$5:$G$449,J18)</x:f>
        <x:v>0</x:v>
      </x:c>
      <x:c r="N18" s="51"/>
      <x:c r="O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10" t="n">
        <x:v>12</x:v>
      </x:c>
      <x:c r="K19" s="28" t="n">
        <x:f>COUNTIFS('料件明細'!$G$5:$G$449,J19)</x:f>
        <x:v>0</x:v>
      </x:c>
      <x:c r="L19" s="29" t="n">
        <x:f>SUMPRODUCT(('料件明細'!$G$5:$G$449=J19)*'料件明細'!$H$5:$H$449*'料件明細'!$I$5:$I$449/100)</x:f>
        <x:v>0</x:v>
      </x:c>
      <x:c r="M19" s="29" t="n">
        <x:f>SUMIFS('料件明細'!$N$5:$N$449,'料件明細'!$G$5:$G$449,J19)</x:f>
        <x:v>0</x:v>
      </x:c>
      <x:c r="N19" s="51"/>
      <x:c r="O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</x:row>
    <x:row r="30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</x:row>
    <x:row r="302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</x:row>
    <x:row r="303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</x:row>
    <x:row r="304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</x:row>
    <x:row r="305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</x:row>
    <x:row r="306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</x:row>
    <x:row r="307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</x:row>
    <x:row r="308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</x:row>
    <x:row r="309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</x:row>
    <x:row r="310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</x:row>
    <x:row r="31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</x:row>
    <x:row r="312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</x:row>
    <x:row r="313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</x:row>
    <x:row r="314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</x:row>
    <x:row r="315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</x:row>
    <x:row r="316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</x:row>
    <x:row r="317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</x:row>
    <x:row r="318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</x:row>
    <x:row r="319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</x:row>
    <x:row r="320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</x:row>
    <x:row r="32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</x:row>
    <x:row r="322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</x:row>
    <x:row r="323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</x:row>
    <x:row r="324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</x:row>
    <x:row r="325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</x:row>
    <x:row r="326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</x:row>
    <x:row r="327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</x:row>
    <x:row r="328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</x:row>
    <x:row r="329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</x:row>
    <x:row r="330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</x:row>
    <x:row r="33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</x:row>
    <x:row r="332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</x:row>
    <x:row r="333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</x:row>
    <x:row r="334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</x:row>
    <x:row r="335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</x:row>
    <x:row r="336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</x:row>
    <x:row r="337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</x:row>
    <x:row r="338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</x:row>
    <x:row r="339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</x:row>
    <x:row r="340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</x:row>
    <x:row r="34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</x:row>
    <x:row r="342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</x:row>
    <x:row r="343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</x:row>
    <x:row r="344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</x:row>
    <x:row r="345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</x:row>
    <x:row r="346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</x:row>
    <x:row r="347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</x:row>
    <x:row r="348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</x:row>
    <x:row r="349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</x:row>
    <x:row r="350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</x:row>
    <x:row r="35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</x:row>
    <x:row r="352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</x:row>
    <x:row r="353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</x:row>
    <x:row r="354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</x:row>
    <x:row r="355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</x:row>
    <x:row r="356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</x:row>
    <x:row r="357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</x:row>
    <x:row r="358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</x:row>
    <x:row r="359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</x:row>
    <x:row r="360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</x:row>
    <x:row r="36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</x:row>
    <x:row r="362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</x:row>
    <x:row r="363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</x:row>
    <x:row r="364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</x:row>
    <x:row r="365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</x:row>
    <x:row r="366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</x:row>
    <x:row r="367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</x:row>
    <x:row r="368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</x:row>
    <x:row r="369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</x:row>
    <x:row r="370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</x:row>
    <x:row r="37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</x:row>
    <x:row r="372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</x:row>
    <x:row r="373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</x:row>
    <x:row r="374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</x:row>
    <x:row r="375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</x:row>
    <x:row r="376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</x:row>
    <x:row r="377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</x:row>
    <x:row r="378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</x:row>
    <x:row r="379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</x:row>
    <x:row r="380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</x:row>
    <x:row r="38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</x:row>
    <x:row r="382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</x:row>
    <x:row r="383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</x:row>
    <x:row r="384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</x:row>
    <x:row r="385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</x:row>
    <x:row r="386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</x:row>
    <x:row r="387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</x:row>
    <x:row r="388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</x:row>
    <x:row r="389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</x:row>
    <x:row r="390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</x:row>
    <x:row r="39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</x:row>
    <x:row r="392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</x:row>
    <x:row r="393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</x:row>
    <x:row r="394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</x:row>
    <x:row r="395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</x:row>
    <x:row r="396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</x:row>
    <x:row r="397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</x:row>
    <x:row r="398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</x:row>
    <x:row r="399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</x:row>
    <x:row r="400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</x:row>
    <x:row r="40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</x:row>
    <x:row r="402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</x:row>
    <x:row r="403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</x:row>
    <x:row r="404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</x:row>
    <x:row r="405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</x:row>
    <x:row r="406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</x:row>
    <x:row r="407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</x:row>
    <x:row r="408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</x:row>
    <x:row r="409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</x:row>
    <x:row r="410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</x:row>
    <x:row r="41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</x:row>
    <x:row r="412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</x:row>
    <x:row r="413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</x:row>
    <x:row r="414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</x:row>
    <x:row r="415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</x:row>
    <x:row r="416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</x:row>
    <x:row r="417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</x:row>
    <x:row r="418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</x:row>
    <x:row r="419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</x:row>
    <x:row r="420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</x:row>
    <x:row r="42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</x:row>
    <x:row r="422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</x:row>
    <x:row r="423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</x:row>
    <x:row r="424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</x:row>
    <x:row r="425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</x:row>
    <x:row r="426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</x:row>
    <x:row r="427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</x:row>
    <x:row r="428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</x:row>
    <x:row r="429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</x:row>
    <x:row r="430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</x:row>
    <x:row r="43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</x:row>
    <x:row r="432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</x:row>
    <x:row r="433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</x:row>
    <x:row r="434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</x:row>
    <x:row r="435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</x:row>
    <x:row r="436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</x:row>
    <x:row r="437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</x:row>
    <x:row r="438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</x:row>
    <x:row r="439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</x:row>
    <x:row r="440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</x:row>
    <x:row r="44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</x:row>
    <x:row r="442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</x:row>
    <x:row r="443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</x:row>
    <x:row r="444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</x:row>
    <x:row r="445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</x:row>
    <x:row r="446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</x:row>
    <x:row r="447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</x:row>
    <x:row r="448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</x:row>
    <x:row r="449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</x:row>
    <x:row r="450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</x:row>
    <x:row r="45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</x:row>
    <x:row r="452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</x:row>
    <x:row r="453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</x:row>
    <x:row r="454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</x:row>
    <x:row r="455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</x:row>
    <x:row r="456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</x:row>
    <x:row r="457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</x:row>
    <x:row r="458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</x:row>
    <x:row r="459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</x:row>
    <x:row r="460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</x:row>
    <x:row r="46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</x:row>
    <x:row r="462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</x:row>
    <x:row r="463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</x:row>
    <x:row r="464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</x:row>
    <x:row r="465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</x:row>
    <x:row r="466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</x:row>
    <x:row r="467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</x:row>
    <x:row r="468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</x:row>
    <x:row r="469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</x:row>
    <x:row r="470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</x:row>
    <x:row r="47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</x:row>
    <x:row r="472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</x:row>
    <x:row r="473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</x:row>
    <x:row r="474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</x:row>
    <x:row r="475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</x:row>
    <x:row r="476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</x:row>
    <x:row r="477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</x:row>
    <x:row r="478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</x:row>
    <x:row r="479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</x:row>
    <x:row r="480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</x:row>
    <x:row r="48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</x:row>
    <x:row r="482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</x:row>
    <x:row r="483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</x:row>
    <x:row r="484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</x:row>
    <x:row r="485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</x:row>
    <x:row r="486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</x:row>
    <x:row r="487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</x:row>
    <x:row r="488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</x:row>
    <x:row r="489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</x:row>
    <x:row r="490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</x:row>
    <x:row r="49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</x:row>
    <x:row r="492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</x:row>
    <x:row r="493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</x:row>
    <x:row r="494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</x:row>
    <x:row r="495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</x:row>
    <x:row r="496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</x:row>
    <x:row r="497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</x:row>
    <x:row r="498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</x:row>
    <x:row r="499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</x:row>
    <x:row r="500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</x:row>
  </x:sheetData>
  <x:conditionalFormatting sqref="H10:H16">
    <x:cfRule type="containsText" dxfId="0" priority="1" operator="containsText" text="一致"/>
    <x:cfRule type="containsText" dxfId="1" priority="2" operator="containsText" text="需覆核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48" hidden="0" customWidth="1"/>
  </x:cols>
  <x:sheetData>
    <x:row r="1" ht="18" hidden="0" customHeight="1">
      <x:c r="A1" s="50" t="str">
        <x:v>鋼筋料件明細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15" hidden="0" customHeight="1">
      <x:c r="A2" s="52" t="str">
        <x:v>每列重量由長度、支數及單位重量重新計算；原始彎折與形狀欄位保留供覆核。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</x:row>
    <x:row r="3" ht="15" hidden="0" customHeight="1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</x:row>
    <x:row r="4" ht="15" hidden="0" customHeight="1">
      <x:c r="A4" s="34" t="str">
        <x:v>工作表</x:v>
      </x:c>
      <x:c r="B4" s="34" t="str">
        <x:v>樓層</x:v>
      </x:c>
      <x:c r="C4" s="34" t="str">
        <x:v>部位</x:v>
      </x:c>
      <x:c r="D4" s="34" t="str">
        <x:v>鋼筋類別</x:v>
      </x:c>
      <x:c r="E4" s="34" t="str">
        <x:v>原表列</x:v>
      </x:c>
      <x:c r="F4" s="34" t="str">
        <x:v>欄位</x:v>
      </x:c>
      <x:c r="G4" s="34" t="str">
        <x:v>規格</x:v>
      </x:c>
      <x:c r="H4" s="34" t="str">
        <x:v>長度 (cm)</x:v>
      </x:c>
      <x:c r="I4" s="34" t="str">
        <x:v>數量 (支)</x:v>
      </x:c>
      <x:c r="J4" s="34" t="str">
        <x:v>寬彎 (cm)</x:v>
      </x:c>
      <x:c r="K4" s="34" t="str">
        <x:v>形狀</x:v>
      </x:c>
      <x:c r="L4" s="34" t="str">
        <x:v>深彎 (cm)</x:v>
      </x:c>
      <x:c r="M4" s="34" t="str">
        <x:v>單位重量 (kg/m)</x:v>
      </x:c>
      <x:c r="N4" s="34" t="str">
        <x:v>重量 (kg)</x:v>
      </x:c>
      <x:c r="O4" s="34" t="str">
        <x:v>來源</x:v>
      </x:c>
    </x:row>
    <x:row r="5" ht="15" hidden="0" customHeight="1">
      <x:c r="A5" s="40" t="str">
        <x:v>01</x:v>
      </x:c>
      <x:c r="B5" s="40" t="str">
        <x:v>3F</x:v>
      </x:c>
      <x:c r="C5" s="40" t="str">
        <x:v>梁版</x:v>
      </x:c>
      <x:c r="D5" s="40" t="str">
        <x:v>樑 筋</x:v>
      </x:c>
      <x:c r="E5" s="41" t="n">
        <x:v>5</x:v>
      </x:c>
      <x:c r="F5" s="40" t="str">
        <x:v>左欄</x:v>
      </x:c>
      <x:c r="G5" s="38" t="n">
        <x:v>8</x:v>
      </x:c>
      <x:c r="H5" s="37" t="n">
        <x:v>650</x:v>
      </x:c>
      <x:c r="I5" s="37" t="n">
        <x:v>16</x:v>
      </x:c>
      <x:c r="J5" s="37" t="n">
        <x:v>0</x:v>
      </x:c>
      <x:c r="K5" s="36" t="n">
        <x:v>610</x:v>
      </x:c>
      <x:c r="L5" s="37" t="n">
        <x:v>40</x:v>
      </x:c>
      <x:c r="M5" s="42" t="n">
        <x:f>IF(G5="","",INDEX('規格與範圍'!$B$14:$B$23,MATCH(G5,'規格與範圍'!$A$14:$A$23,0)))</x:f>
        <x:v>3.98</x:v>
      </x:c>
      <x:c r="N5" s="42" t="n">
        <x:f>IF(OR(H5="",I5="",M5=""),"",H5*I5*M5/100)</x:f>
        <x:v>413.92</x:v>
      </x:c>
      <x:c r="O5" s="36" t="str">
        <x:v>友愛街 3F梁版往上 鋼筋料單 114.08.28.XLS｜工作表 01｜原列 5｜左欄</x:v>
      </x:c>
    </x:row>
    <x:row r="6" ht="15" hidden="0" customHeight="1">
      <x:c r="A6" s="40" t="str">
        <x:v>01</x:v>
      </x:c>
      <x:c r="B6" s="40" t="str">
        <x:v>3F</x:v>
      </x:c>
      <x:c r="C6" s="40" t="str">
        <x:v>梁版</x:v>
      </x:c>
      <x:c r="D6" s="40" t="str">
        <x:v>樑 筋</x:v>
      </x:c>
      <x:c r="E6" s="41" t="n">
        <x:v>6</x:v>
      </x:c>
      <x:c r="F6" s="40" t="str">
        <x:v>左欄</x:v>
      </x:c>
      <x:c r="G6" s="38" t="n">
        <x:v>8</x:v>
      </x:c>
      <x:c r="H6" s="37" t="n">
        <x:v>600</x:v>
      </x:c>
      <x:c r="I6" s="37" t="n">
        <x:v>8</x:v>
      </x:c>
      <x:c r="J6" s="37" t="n">
        <x:v>0</x:v>
      </x:c>
      <x:c r="K6" s="36" t="n">
        <x:v>560</x:v>
      </x:c>
      <x:c r="L6" s="37" t="n">
        <x:v>40</x:v>
      </x:c>
      <x:c r="M6" s="42" t="n">
        <x:f>IF(G6="","",INDEX('規格與範圍'!$B$14:$B$23,MATCH(G6,'規格與範圍'!$A$14:$A$23,0)))</x:f>
        <x:v>3.98</x:v>
      </x:c>
      <x:c r="N6" s="42" t="n">
        <x:f>IF(OR(H6="",I6="",M6=""),"",H6*I6*M6/100)</x:f>
        <x:v>191.04</x:v>
      </x:c>
      <x:c r="O6" s="36" t="str">
        <x:v>友愛街 3F梁版往上 鋼筋料單 114.08.28.XLS｜工作表 01｜原列 6｜左欄</x:v>
      </x:c>
    </x:row>
    <x:row r="7" ht="15" hidden="0" customHeight="1">
      <x:c r="A7" s="40" t="str">
        <x:v>01</x:v>
      </x:c>
      <x:c r="B7" s="40" t="str">
        <x:v>3F</x:v>
      </x:c>
      <x:c r="C7" s="40" t="str">
        <x:v>梁版</x:v>
      </x:c>
      <x:c r="D7" s="40" t="str">
        <x:v>樑 筋</x:v>
      </x:c>
      <x:c r="E7" s="41" t="n">
        <x:v>7</x:v>
      </x:c>
      <x:c r="F7" s="40" t="str">
        <x:v>左欄</x:v>
      </x:c>
      <x:c r="G7" s="38" t="n">
        <x:v>8</x:v>
      </x:c>
      <x:c r="H7" s="37" t="n">
        <x:v>500</x:v>
      </x:c>
      <x:c r="I7" s="37" t="n">
        <x:v>18</x:v>
      </x:c>
      <x:c r="J7" s="37" t="n">
        <x:v>0</x:v>
      </x:c>
      <x:c r="K7" s="36" t="n">
        <x:v>460</x:v>
      </x:c>
      <x:c r="L7" s="37" t="n">
        <x:v>40</x:v>
      </x:c>
      <x:c r="M7" s="42" t="n">
        <x:f>IF(G7="","",INDEX('規格與範圍'!$B$14:$B$23,MATCH(G7,'規格與範圍'!$A$14:$A$23,0)))</x:f>
        <x:v>3.98</x:v>
      </x:c>
      <x:c r="N7" s="42" t="n">
        <x:f>IF(OR(H7="",I7="",M7=""),"",H7*I7*M7/100)</x:f>
        <x:v>358.2</x:v>
      </x:c>
      <x:c r="O7" s="36" t="str">
        <x:v>友愛街 3F梁版往上 鋼筋料單 114.08.28.XLS｜工作表 01｜原列 7｜左欄</x:v>
      </x:c>
    </x:row>
    <x:row r="8" ht="15" hidden="0" customHeight="1">
      <x:c r="A8" s="40" t="str">
        <x:v>01</x:v>
      </x:c>
      <x:c r="B8" s="40" t="str">
        <x:v>3F</x:v>
      </x:c>
      <x:c r="C8" s="40" t="str">
        <x:v>梁版</x:v>
      </x:c>
      <x:c r="D8" s="40" t="str">
        <x:v>樑 筋</x:v>
      </x:c>
      <x:c r="E8" s="41" t="n">
        <x:v>8</x:v>
      </x:c>
      <x:c r="F8" s="40" t="str">
        <x:v>左欄</x:v>
      </x:c>
      <x:c r="G8" s="38" t="n">
        <x:v>8</x:v>
      </x:c>
      <x:c r="H8" s="37" t="n">
        <x:v>400</x:v>
      </x:c>
      <x:c r="I8" s="37" t="n">
        <x:v>18</x:v>
      </x:c>
      <x:c r="J8" s="37" t="n">
        <x:v>0</x:v>
      </x:c>
      <x:c r="K8" s="36" t="n">
        <x:v>360</x:v>
      </x:c>
      <x:c r="L8" s="37" t="n">
        <x:v>40</x:v>
      </x:c>
      <x:c r="M8" s="42" t="n">
        <x:f>IF(G8="","",INDEX('規格與範圍'!$B$14:$B$23,MATCH(G8,'規格與範圍'!$A$14:$A$23,0)))</x:f>
        <x:v>3.98</x:v>
      </x:c>
      <x:c r="N8" s="42" t="n">
        <x:f>IF(OR(H8="",I8="",M8=""),"",H8*I8*M8/100)</x:f>
        <x:v>286.56</x:v>
      </x:c>
      <x:c r="O8" s="36" t="str">
        <x:v>友愛街 3F梁版往上 鋼筋料單 114.08.28.XLS｜工作表 01｜原列 8｜左欄</x:v>
      </x:c>
    </x:row>
    <x:row r="9" ht="15" hidden="0" customHeight="1">
      <x:c r="A9" s="40" t="str">
        <x:v>01</x:v>
      </x:c>
      <x:c r="B9" s="40" t="str">
        <x:v>3F</x:v>
      </x:c>
      <x:c r="C9" s="40" t="str">
        <x:v>梁版</x:v>
      </x:c>
      <x:c r="D9" s="40" t="str">
        <x:v>樑 筋</x:v>
      </x:c>
      <x:c r="E9" s="41" t="n">
        <x:v>9</x:v>
      </x:c>
      <x:c r="F9" s="40" t="str">
        <x:v>左欄</x:v>
      </x:c>
      <x:c r="G9" s="38" t="n">
        <x:v>8</x:v>
      </x:c>
      <x:c r="H9" s="37" t="n">
        <x:v>350</x:v>
      </x:c>
      <x:c r="I9" s="37" t="n">
        <x:v>22</x:v>
      </x:c>
      <x:c r="J9" s="37" t="n">
        <x:v>0</x:v>
      </x:c>
      <x:c r="K9" s="36" t="n">
        <x:v>310</x:v>
      </x:c>
      <x:c r="L9" s="37" t="n">
        <x:v>40</x:v>
      </x:c>
      <x:c r="M9" s="42" t="n">
        <x:f>IF(G9="","",INDEX('規格與範圍'!$B$14:$B$23,MATCH(G9,'規格與範圍'!$A$14:$A$23,0)))</x:f>
        <x:v>3.98</x:v>
      </x:c>
      <x:c r="N9" s="42" t="n">
        <x:f>IF(OR(H9="",I9="",M9=""),"",H9*I9*M9/100)</x:f>
        <x:v>306.46</x:v>
      </x:c>
      <x:c r="O9" s="36" t="str">
        <x:v>友愛街 3F梁版往上 鋼筋料單 114.08.28.XLS｜工作表 01｜原列 9｜左欄</x:v>
      </x:c>
    </x:row>
    <x:row r="10" ht="15" hidden="0" customHeight="1">
      <x:c r="A10" s="40" t="str">
        <x:v>01</x:v>
      </x:c>
      <x:c r="B10" s="40" t="str">
        <x:v>3F</x:v>
      </x:c>
      <x:c r="C10" s="40" t="str">
        <x:v>梁版</x:v>
      </x:c>
      <x:c r="D10" s="40" t="str">
        <x:v>樑 筋</x:v>
      </x:c>
      <x:c r="E10" s="41" t="n">
        <x:v>10</x:v>
      </x:c>
      <x:c r="F10" s="40" t="str">
        <x:v>左欄</x:v>
      </x:c>
      <x:c r="G10" s="38" t="n">
        <x:v>8</x:v>
      </x:c>
      <x:c r="H10" s="37" t="n">
        <x:v>300</x:v>
      </x:c>
      <x:c r="I10" s="37" t="n">
        <x:v>21</x:v>
      </x:c>
      <x:c r="J10" s="37" t="n">
        <x:v>0</x:v>
      </x:c>
      <x:c r="K10" s="36" t="n">
        <x:v>260</x:v>
      </x:c>
      <x:c r="L10" s="37" t="n">
        <x:v>40</x:v>
      </x:c>
      <x:c r="M10" s="42" t="n">
        <x:f>IF(G10="","",INDEX('規格與範圍'!$B$14:$B$23,MATCH(G10,'規格與範圍'!$A$14:$A$23,0)))</x:f>
        <x:v>3.98</x:v>
      </x:c>
      <x:c r="N10" s="42" t="n">
        <x:f>IF(OR(H10="",I10="",M10=""),"",H10*I10*M10/100)</x:f>
        <x:v>250.74</x:v>
      </x:c>
      <x:c r="O10" s="36" t="str">
        <x:v>友愛街 3F梁版往上 鋼筋料單 114.08.28.XLS｜工作表 01｜原列 10｜左欄</x:v>
      </x:c>
    </x:row>
    <x:row r="11" ht="15" hidden="0" customHeight="1">
      <x:c r="A11" s="40" t="str">
        <x:v>01</x:v>
      </x:c>
      <x:c r="B11" s="40" t="str">
        <x:v>3F</x:v>
      </x:c>
      <x:c r="C11" s="40" t="str">
        <x:v>梁版</x:v>
      </x:c>
      <x:c r="D11" s="40" t="str">
        <x:v>樑 筋</x:v>
      </x:c>
      <x:c r="E11" s="41" t="n">
        <x:v>11</x:v>
      </x:c>
      <x:c r="F11" s="40" t="str">
        <x:v>左欄</x:v>
      </x:c>
      <x:c r="G11" s="38" t="n">
        <x:v>8</x:v>
      </x:c>
      <x:c r="H11" s="37" t="n">
        <x:v>790</x:v>
      </x:c>
      <x:c r="I11" s="37" t="n">
        <x:v>16</x:v>
      </x:c>
      <x:c r="J11" s="37" t="n">
        <x:v>0</x:v>
      </x:c>
      <x:c r="K11" s="36" t="n">
        <x:v>760</x:v>
      </x:c>
      <x:c r="L11" s="37" t="n">
        <x:v>30</x:v>
      </x:c>
      <x:c r="M11" s="42" t="n">
        <x:f>IF(G11="","",INDEX('規格與範圍'!$B$14:$B$23,MATCH(G11,'規格與範圍'!$A$14:$A$23,0)))</x:f>
        <x:v>3.98</x:v>
      </x:c>
      <x:c r="N11" s="42" t="n">
        <x:f>IF(OR(H11="",I11="",M11=""),"",H11*I11*M11/100)</x:f>
        <x:v>503.07199999999995</x:v>
      </x:c>
      <x:c r="O11" s="36" t="str">
        <x:v>友愛街 3F梁版往上 鋼筋料單 114.08.28.XLS｜工作表 01｜原列 11｜左欄</x:v>
      </x:c>
    </x:row>
    <x:row r="12" ht="15" hidden="0" customHeight="1">
      <x:c r="A12" s="40" t="str">
        <x:v>01</x:v>
      </x:c>
      <x:c r="B12" s="40" t="str">
        <x:v>3F</x:v>
      </x:c>
      <x:c r="C12" s="40" t="str">
        <x:v>梁版</x:v>
      </x:c>
      <x:c r="D12" s="40" t="str">
        <x:v>樑 筋</x:v>
      </x:c>
      <x:c r="E12" s="41" t="n">
        <x:v>12</x:v>
      </x:c>
      <x:c r="F12" s="40" t="str">
        <x:v>左欄</x:v>
      </x:c>
      <x:c r="G12" s="38" t="n">
        <x:v>8</x:v>
      </x:c>
      <x:c r="H12" s="37" t="n">
        <x:v>540</x:v>
      </x:c>
      <x:c r="I12" s="37" t="n">
        <x:v>11</x:v>
      </x:c>
      <x:c r="J12" s="37" t="n">
        <x:v>0</x:v>
      </x:c>
      <x:c r="K12" s="36" t="n">
        <x:v>510</x:v>
      </x:c>
      <x:c r="L12" s="37" t="n">
        <x:v>30</x:v>
      </x:c>
      <x:c r="M12" s="42" t="n">
        <x:f>IF(G12="","",INDEX('規格與範圍'!$B$14:$B$23,MATCH(G12,'規格與範圍'!$A$14:$A$23,0)))</x:f>
        <x:v>3.98</x:v>
      </x:c>
      <x:c r="N12" s="42" t="n">
        <x:f>IF(OR(H12="",I12="",M12=""),"",H12*I12*M12/100)</x:f>
        <x:v>236.412</x:v>
      </x:c>
      <x:c r="O12" s="36" t="str">
        <x:v>友愛街 3F梁版往上 鋼筋料單 114.08.28.XLS｜工作表 01｜原列 12｜左欄</x:v>
      </x:c>
    </x:row>
    <x:row r="13" ht="15" hidden="0" customHeight="1">
      <x:c r="A13" s="40" t="str">
        <x:v>01</x:v>
      </x:c>
      <x:c r="B13" s="40" t="str">
        <x:v>3F</x:v>
      </x:c>
      <x:c r="C13" s="40" t="str">
        <x:v>梁版</x:v>
      </x:c>
      <x:c r="D13" s="40" t="str">
        <x:v>樑 筋</x:v>
      </x:c>
      <x:c r="E13" s="41" t="n">
        <x:v>13</x:v>
      </x:c>
      <x:c r="F13" s="40" t="str">
        <x:v>左欄</x:v>
      </x:c>
      <x:c r="G13" s="38" t="n">
        <x:v>8</x:v>
      </x:c>
      <x:c r="H13" s="37" t="n">
        <x:v>440</x:v>
      </x:c>
      <x:c r="I13" s="37" t="n">
        <x:v>21</x:v>
      </x:c>
      <x:c r="J13" s="37" t="n">
        <x:v>0</x:v>
      </x:c>
      <x:c r="K13" s="36" t="n">
        <x:v>410</x:v>
      </x:c>
      <x:c r="L13" s="37" t="n">
        <x:v>30</x:v>
      </x:c>
      <x:c r="M13" s="42" t="n">
        <x:f>IF(G13="","",INDEX('規格與範圍'!$B$14:$B$23,MATCH(G13,'規格與範圍'!$A$14:$A$23,0)))</x:f>
        <x:v>3.98</x:v>
      </x:c>
      <x:c r="N13" s="42" t="n">
        <x:f>IF(OR(H13="",I13="",M13=""),"",H13*I13*M13/100)</x:f>
        <x:v>367.75199999999995</x:v>
      </x:c>
      <x:c r="O13" s="36" t="str">
        <x:v>友愛街 3F梁版往上 鋼筋料單 114.08.28.XLS｜工作表 01｜原列 13｜左欄</x:v>
      </x:c>
    </x:row>
    <x:row r="14" ht="15" hidden="0" customHeight="1">
      <x:c r="A14" s="40" t="str">
        <x:v>01</x:v>
      </x:c>
      <x:c r="B14" s="40" t="str">
        <x:v>3F</x:v>
      </x:c>
      <x:c r="C14" s="40" t="str">
        <x:v>梁版</x:v>
      </x:c>
      <x:c r="D14" s="40" t="str">
        <x:v>樑 筋</x:v>
      </x:c>
      <x:c r="E14" s="41" t="n">
        <x:v>14</x:v>
      </x:c>
      <x:c r="F14" s="40" t="str">
        <x:v>左欄</x:v>
      </x:c>
      <x:c r="G14" s="38" t="n">
        <x:v>8</x:v>
      </x:c>
      <x:c r="H14" s="37" t="n">
        <x:v>390</x:v>
      </x:c>
      <x:c r="I14" s="37" t="n">
        <x:v>6</x:v>
      </x:c>
      <x:c r="J14" s="37" t="n">
        <x:v>0</x:v>
      </x:c>
      <x:c r="K14" s="36" t="n">
        <x:v>360</x:v>
      </x:c>
      <x:c r="L14" s="37" t="n">
        <x:v>30</x:v>
      </x:c>
      <x:c r="M14" s="42" t="n">
        <x:f>IF(G14="","",INDEX('規格與範圍'!$B$14:$B$23,MATCH(G14,'規格與範圍'!$A$14:$A$23,0)))</x:f>
        <x:v>3.98</x:v>
      </x:c>
      <x:c r="N14" s="42" t="n">
        <x:f>IF(OR(H14="",I14="",M14=""),"",H14*I14*M14/100)</x:f>
        <x:v>93.132</x:v>
      </x:c>
      <x:c r="O14" s="36" t="str">
        <x:v>友愛街 3F梁版往上 鋼筋料單 114.08.28.XLS｜工作表 01｜原列 14｜左欄</x:v>
      </x:c>
    </x:row>
    <x:row r="15" ht="15" hidden="0" customHeight="1">
      <x:c r="A15" s="40" t="str">
        <x:v>01</x:v>
      </x:c>
      <x:c r="B15" s="40" t="str">
        <x:v>3F</x:v>
      </x:c>
      <x:c r="C15" s="40" t="str">
        <x:v>梁版</x:v>
      </x:c>
      <x:c r="D15" s="40" t="str">
        <x:v>樑 筋</x:v>
      </x:c>
      <x:c r="E15" s="41" t="n">
        <x:v>15</x:v>
      </x:c>
      <x:c r="F15" s="40" t="str">
        <x:v>左欄</x:v>
      </x:c>
      <x:c r="G15" s="38" t="n">
        <x:v>8</x:v>
      </x:c>
      <x:c r="H15" s="37" t="n">
        <x:v>290</x:v>
      </x:c>
      <x:c r="I15" s="37" t="n">
        <x:v>8</x:v>
      </x:c>
      <x:c r="J15" s="37" t="n">
        <x:v>0</x:v>
      </x:c>
      <x:c r="K15" s="36" t="n">
        <x:v>260</x:v>
      </x:c>
      <x:c r="L15" s="37" t="n">
        <x:v>30</x:v>
      </x:c>
      <x:c r="M15" s="42" t="n">
        <x:f>IF(G15="","",INDEX('規格與範圍'!$B$14:$B$23,MATCH(G15,'規格與範圍'!$A$14:$A$23,0)))</x:f>
        <x:v>3.98</x:v>
      </x:c>
      <x:c r="N15" s="42" t="n">
        <x:f>IF(OR(H15="",I15="",M15=""),"",H15*I15*M15/100)</x:f>
        <x:v>92.336</x:v>
      </x:c>
      <x:c r="O15" s="36" t="str">
        <x:v>友愛街 3F梁版往上 鋼筋料單 114.08.28.XLS｜工作表 01｜原列 15｜左欄</x:v>
      </x:c>
    </x:row>
    <x:row r="16" ht="15" hidden="0" customHeight="1">
      <x:c r="A16" s="40" t="str">
        <x:v>01</x:v>
      </x:c>
      <x:c r="B16" s="40" t="str">
        <x:v>3F</x:v>
      </x:c>
      <x:c r="C16" s="40" t="str">
        <x:v>梁版</x:v>
      </x:c>
      <x:c r="D16" s="40" t="str">
        <x:v>樑 筋</x:v>
      </x:c>
      <x:c r="E16" s="41" t="n">
        <x:v>16</x:v>
      </x:c>
      <x:c r="F16" s="40" t="str">
        <x:v>左欄</x:v>
      </x:c>
      <x:c r="G16" s="38" t="n">
        <x:v>8</x:v>
      </x:c>
      <x:c r="H16" s="37" t="n">
        <x:v>850</x:v>
      </x:c>
      <x:c r="I16" s="37" t="n">
        <x:v>7</x:v>
      </x:c>
      <x:c r="J16" s="37" t="n">
        <x:v>0</x:v>
      </x:c>
      <x:c r="K16" s="36" t="n">
        <x:v>850</x:v>
      </x:c>
      <x:c r="L16" s="37" t="n">
        <x:v>0</x:v>
      </x:c>
      <x:c r="M16" s="42" t="n">
        <x:f>IF(G16="","",INDEX('規格與範圍'!$B$14:$B$23,MATCH(G16,'規格與範圍'!$A$14:$A$23,0)))</x:f>
        <x:v>3.98</x:v>
      </x:c>
      <x:c r="N16" s="42" t="n">
        <x:f>IF(OR(H16="",I16="",M16=""),"",H16*I16*M16/100)</x:f>
        <x:v>236.81</x:v>
      </x:c>
      <x:c r="O16" s="36" t="str">
        <x:v>友愛街 3F梁版往上 鋼筋料單 114.08.28.XLS｜工作表 01｜原列 16｜左欄</x:v>
      </x:c>
    </x:row>
    <x:row r="17" ht="15" hidden="0" customHeight="1">
      <x:c r="A17" s="40" t="str">
        <x:v>01</x:v>
      </x:c>
      <x:c r="B17" s="40" t="str">
        <x:v>3F</x:v>
      </x:c>
      <x:c r="C17" s="40" t="str">
        <x:v>梁版</x:v>
      </x:c>
      <x:c r="D17" s="40" t="str">
        <x:v>樑 筋</x:v>
      </x:c>
      <x:c r="E17" s="41" t="n">
        <x:v>17</x:v>
      </x:c>
      <x:c r="F17" s="40" t="str">
        <x:v>左欄</x:v>
      </x:c>
      <x:c r="G17" s="38" t="n">
        <x:v>8</x:v>
      </x:c>
      <x:c r="H17" s="37" t="n">
        <x:v>450</x:v>
      </x:c>
      <x:c r="I17" s="37" t="n">
        <x:v>4</x:v>
      </x:c>
      <x:c r="J17" s="37" t="n">
        <x:v>0</x:v>
      </x:c>
      <x:c r="K17" s="36" t="n">
        <x:v>450</x:v>
      </x:c>
      <x:c r="L17" s="37" t="n">
        <x:v>0</x:v>
      </x:c>
      <x:c r="M17" s="42" t="n">
        <x:f>IF(G17="","",INDEX('規格與範圍'!$B$14:$B$23,MATCH(G17,'規格與範圍'!$A$14:$A$23,0)))</x:f>
        <x:v>3.98</x:v>
      </x:c>
      <x:c r="N17" s="42" t="n">
        <x:f>IF(OR(H17="",I17="",M17=""),"",H17*I17*M17/100)</x:f>
        <x:v>71.64</x:v>
      </x:c>
      <x:c r="O17" s="36" t="str">
        <x:v>友愛街 3F梁版往上 鋼筋料單 114.08.28.XLS｜工作表 01｜原列 17｜左欄</x:v>
      </x:c>
    </x:row>
    <x:row r="18" ht="15" hidden="0" customHeight="1">
      <x:c r="A18" s="40" t="str">
        <x:v>01</x:v>
      </x:c>
      <x:c r="B18" s="40" t="str">
        <x:v>3F</x:v>
      </x:c>
      <x:c r="C18" s="40" t="str">
        <x:v>梁版</x:v>
      </x:c>
      <x:c r="D18" s="40" t="str">
        <x:v>樑 筋</x:v>
      </x:c>
      <x:c r="E18" s="41" t="n">
        <x:v>19</x:v>
      </x:c>
      <x:c r="F18" s="40" t="str">
        <x:v>左欄</x:v>
      </x:c>
      <x:c r="G18" s="38" t="n">
        <x:v>6</x:v>
      </x:c>
      <x:c r="H18" s="37" t="n">
        <x:v>750</x:v>
      </x:c>
      <x:c r="I18" s="37" t="n">
        <x:v>3</x:v>
      </x:c>
      <x:c r="J18" s="37" t="n">
        <x:v>30</x:v>
      </x:c>
      <x:c r="K18" s="36" t="n">
        <x:v>690</x:v>
      </x:c>
      <x:c r="L18" s="37" t="n">
        <x:v>30</x:v>
      </x:c>
      <x:c r="M18" s="42" t="n">
        <x:f>IF(G18="","",INDEX('規格與範圍'!$B$14:$B$23,MATCH(G18,'規格與範圍'!$A$14:$A$23,0)))</x:f>
        <x:v>2.25</x:v>
      </x:c>
      <x:c r="N18" s="42" t="n">
        <x:f>IF(OR(H18="",I18="",M18=""),"",H18*I18*M18/100)</x:f>
        <x:v>50.625</x:v>
      </x:c>
      <x:c r="O18" s="36" t="str">
        <x:v>友愛街 3F梁版往上 鋼筋料單 114.08.28.XLS｜工作表 01｜原列 19｜左欄</x:v>
      </x:c>
    </x:row>
    <x:row r="19" ht="15" hidden="0" customHeight="1">
      <x:c r="A19" s="40" t="str">
        <x:v>01</x:v>
      </x:c>
      <x:c r="B19" s="40" t="str">
        <x:v>3F</x:v>
      </x:c>
      <x:c r="C19" s="40" t="str">
        <x:v>梁版</x:v>
      </x:c>
      <x:c r="D19" s="40" t="str">
        <x:v>樑 筋</x:v>
      </x:c>
      <x:c r="E19" s="41" t="n">
        <x:v>20</x:v>
      </x:c>
      <x:c r="F19" s="40" t="str">
        <x:v>左欄</x:v>
      </x:c>
      <x:c r="G19" s="38" t="n">
        <x:v>6</x:v>
      </x:c>
      <x:c r="H19" s="37" t="n">
        <x:v>720</x:v>
      </x:c>
      <x:c r="I19" s="37" t="n">
        <x:v>6</x:v>
      </x:c>
      <x:c r="J19" s="37" t="n">
        <x:v>30</x:v>
      </x:c>
      <x:c r="K19" s="36" t="n">
        <x:v>660</x:v>
      </x:c>
      <x:c r="L19" s="37" t="n">
        <x:v>30</x:v>
      </x:c>
      <x:c r="M19" s="42" t="n">
        <x:f>IF(G19="","",INDEX('規格與範圍'!$B$14:$B$23,MATCH(G19,'規格與範圍'!$A$14:$A$23,0)))</x:f>
        <x:v>2.25</x:v>
      </x:c>
      <x:c r="N19" s="42" t="n">
        <x:f>IF(OR(H19="",I19="",M19=""),"",H19*I19*M19/100)</x:f>
        <x:v>97.2</x:v>
      </x:c>
      <x:c r="O19" s="36" t="str">
        <x:v>友愛街 3F梁版往上 鋼筋料單 114.08.28.XLS｜工作表 01｜原列 20｜左欄</x:v>
      </x:c>
    </x:row>
    <x:row r="20" ht="15" hidden="0" customHeight="1">
      <x:c r="A20" s="40" t="str">
        <x:v>01</x:v>
      </x:c>
      <x:c r="B20" s="40" t="str">
        <x:v>3F</x:v>
      </x:c>
      <x:c r="C20" s="40" t="str">
        <x:v>梁版</x:v>
      </x:c>
      <x:c r="D20" s="40" t="str">
        <x:v>樑 筋</x:v>
      </x:c>
      <x:c r="E20" s="41" t="n">
        <x:v>21</x:v>
      </x:c>
      <x:c r="F20" s="40" t="str">
        <x:v>左欄</x:v>
      </x:c>
      <x:c r="G20" s="38" t="n">
        <x:v>6</x:v>
      </x:c>
      <x:c r="H20" s="37" t="n">
        <x:v>530</x:v>
      </x:c>
      <x:c r="I20" s="37" t="n">
        <x:v>2</x:v>
      </x:c>
      <x:c r="J20" s="37" t="n">
        <x:v>30</x:v>
      </x:c>
      <x:c r="K20" s="36" t="n">
        <x:v>470</x:v>
      </x:c>
      <x:c r="L20" s="37" t="n">
        <x:v>30</x:v>
      </x:c>
      <x:c r="M20" s="42" t="n">
        <x:f>IF(G20="","",INDEX('規格與範圍'!$B$14:$B$23,MATCH(G20,'規格與範圍'!$A$14:$A$23,0)))</x:f>
        <x:v>2.25</x:v>
      </x:c>
      <x:c r="N20" s="42" t="n">
        <x:f>IF(OR(H20="",I20="",M20=""),"",H20*I20*M20/100)</x:f>
        <x:v>23.85</x:v>
      </x:c>
      <x:c r="O20" s="36" t="str">
        <x:v>友愛街 3F梁版往上 鋼筋料單 114.08.28.XLS｜工作表 01｜原列 21｜左欄</x:v>
      </x:c>
    </x:row>
    <x:row r="21" ht="15" hidden="0" customHeight="1">
      <x:c r="A21" s="40" t="str">
        <x:v>01</x:v>
      </x:c>
      <x:c r="B21" s="40" t="str">
        <x:v>3F</x:v>
      </x:c>
      <x:c r="C21" s="40" t="str">
        <x:v>梁版</x:v>
      </x:c>
      <x:c r="D21" s="40" t="str">
        <x:v>樑 筋</x:v>
      </x:c>
      <x:c r="E21" s="41" t="n">
        <x:v>22</x:v>
      </x:c>
      <x:c r="F21" s="40" t="str">
        <x:v>左欄</x:v>
      </x:c>
      <x:c r="G21" s="38" t="n">
        <x:v>6</x:v>
      </x:c>
      <x:c r="H21" s="37" t="n">
        <x:v>400</x:v>
      </x:c>
      <x:c r="I21" s="37" t="n">
        <x:v>2</x:v>
      </x:c>
      <x:c r="J21" s="37" t="n">
        <x:v>30</x:v>
      </x:c>
      <x:c r="K21" s="36" t="n">
        <x:v>340</x:v>
      </x:c>
      <x:c r="L21" s="37" t="n">
        <x:v>30</x:v>
      </x:c>
      <x:c r="M21" s="42" t="n">
        <x:f>IF(G21="","",INDEX('規格與範圍'!$B$14:$B$23,MATCH(G21,'規格與範圍'!$A$14:$A$23,0)))</x:f>
        <x:v>2.25</x:v>
      </x:c>
      <x:c r="N21" s="42" t="n">
        <x:f>IF(OR(H21="",I21="",M21=""),"",H21*I21*M21/100)</x:f>
        <x:v>18</x:v>
      </x:c>
      <x:c r="O21" s="36" t="str">
        <x:v>友愛街 3F梁版往上 鋼筋料單 114.08.28.XLS｜工作表 01｜原列 22｜左欄</x:v>
      </x:c>
    </x:row>
    <x:row r="22" ht="15" hidden="0" customHeight="1">
      <x:c r="A22" s="40" t="str">
        <x:v>01</x:v>
      </x:c>
      <x:c r="B22" s="40" t="str">
        <x:v>3F</x:v>
      </x:c>
      <x:c r="C22" s="40" t="str">
        <x:v>梁版</x:v>
      </x:c>
      <x:c r="D22" s="40" t="str">
        <x:v>樑 筋</x:v>
      </x:c>
      <x:c r="E22" s="41" t="n">
        <x:v>23</x:v>
      </x:c>
      <x:c r="F22" s="40" t="str">
        <x:v>左欄</x:v>
      </x:c>
      <x:c r="G22" s="38" t="n">
        <x:v>6</x:v>
      </x:c>
      <x:c r="H22" s="37" t="n">
        <x:v>360</x:v>
      </x:c>
      <x:c r="I22" s="37" t="n">
        <x:v>2</x:v>
      </x:c>
      <x:c r="J22" s="37" t="n">
        <x:v>30</x:v>
      </x:c>
      <x:c r="K22" s="36" t="n">
        <x:v>300</x:v>
      </x:c>
      <x:c r="L22" s="37" t="n">
        <x:v>30</x:v>
      </x:c>
      <x:c r="M22" s="42" t="n">
        <x:f>IF(G22="","",INDEX('規格與範圍'!$B$14:$B$23,MATCH(G22,'規格與範圍'!$A$14:$A$23,0)))</x:f>
        <x:v>2.25</x:v>
      </x:c>
      <x:c r="N22" s="42" t="n">
        <x:f>IF(OR(H22="",I22="",M22=""),"",H22*I22*M22/100)</x:f>
        <x:v>16.2</x:v>
      </x:c>
      <x:c r="O22" s="36" t="str">
        <x:v>友愛街 3F梁版往上 鋼筋料單 114.08.28.XLS｜工作表 01｜原列 23｜左欄</x:v>
      </x:c>
    </x:row>
    <x:row r="23" ht="15" hidden="0" customHeight="1">
      <x:c r="A23" s="40" t="str">
        <x:v>01</x:v>
      </x:c>
      <x:c r="B23" s="40" t="str">
        <x:v>3F</x:v>
      </x:c>
      <x:c r="C23" s="40" t="str">
        <x:v>梁版</x:v>
      </x:c>
      <x:c r="D23" s="40" t="str">
        <x:v>樑 筋</x:v>
      </x:c>
      <x:c r="E23" s="41" t="n">
        <x:v>24</x:v>
      </x:c>
      <x:c r="F23" s="40" t="str">
        <x:v>左欄</x:v>
      </x:c>
      <x:c r="G23" s="38" t="n">
        <x:v>6</x:v>
      </x:c>
      <x:c r="H23" s="37" t="n">
        <x:v>320</x:v>
      </x:c>
      <x:c r="I23" s="37" t="n">
        <x:v>2</x:v>
      </x:c>
      <x:c r="J23" s="37" t="n">
        <x:v>30</x:v>
      </x:c>
      <x:c r="K23" s="36" t="n">
        <x:v>260</x:v>
      </x:c>
      <x:c r="L23" s="37" t="n">
        <x:v>30</x:v>
      </x:c>
      <x:c r="M23" s="42" t="n">
        <x:f>IF(G23="","",INDEX('規格與範圍'!$B$14:$B$23,MATCH(G23,'規格與範圍'!$A$14:$A$23,0)))</x:f>
        <x:v>2.25</x:v>
      </x:c>
      <x:c r="N23" s="42" t="n">
        <x:f>IF(OR(H23="",I23="",M23=""),"",H23*I23*M23/100)</x:f>
        <x:v>14.4</x:v>
      </x:c>
      <x:c r="O23" s="36" t="str">
        <x:v>友愛街 3F梁版往上 鋼筋料單 114.08.28.XLS｜工作表 01｜原列 24｜左欄</x:v>
      </x:c>
    </x:row>
    <x:row r="24" ht="15" hidden="0" customHeight="1">
      <x:c r="A24" s="40" t="str">
        <x:v>01</x:v>
      </x:c>
      <x:c r="B24" s="40" t="str">
        <x:v>3F</x:v>
      </x:c>
      <x:c r="C24" s="40" t="str">
        <x:v>梁版</x:v>
      </x:c>
      <x:c r="D24" s="40" t="str">
        <x:v>樑 筋</x:v>
      </x:c>
      <x:c r="E24" s="41" t="n">
        <x:v>25</x:v>
      </x:c>
      <x:c r="F24" s="40" t="str">
        <x:v>左欄</x:v>
      </x:c>
      <x:c r="G24" s="38" t="n">
        <x:v>6</x:v>
      </x:c>
      <x:c r="H24" s="37" t="n">
        <x:v>600</x:v>
      </x:c>
      <x:c r="I24" s="37" t="n">
        <x:v>4</x:v>
      </x:c>
      <x:c r="J24" s="37" t="n">
        <x:v>0</x:v>
      </x:c>
      <x:c r="K24" s="36" t="n">
        <x:v>570</x:v>
      </x:c>
      <x:c r="L24" s="37" t="n">
        <x:v>30</x:v>
      </x:c>
      <x:c r="M24" s="42" t="n">
        <x:f>IF(G24="","",INDEX('規格與範圍'!$B$14:$B$23,MATCH(G24,'規格與範圍'!$A$14:$A$23,0)))</x:f>
        <x:v>2.25</x:v>
      </x:c>
      <x:c r="N24" s="42" t="n">
        <x:f>IF(OR(H24="",I24="",M24=""),"",H24*I24*M24/100)</x:f>
        <x:v>54</x:v>
      </x:c>
      <x:c r="O24" s="36" t="str">
        <x:v>友愛街 3F梁版往上 鋼筋料單 114.08.28.XLS｜工作表 01｜原列 25｜左欄</x:v>
      </x:c>
    </x:row>
    <x:row r="25" ht="15" hidden="0" customHeight="1">
      <x:c r="A25" s="40" t="str">
        <x:v>01</x:v>
      </x:c>
      <x:c r="B25" s="40" t="str">
        <x:v>3F</x:v>
      </x:c>
      <x:c r="C25" s="40" t="str">
        <x:v>梁版</x:v>
      </x:c>
      <x:c r="D25" s="40" t="str">
        <x:v>樑 筋</x:v>
      </x:c>
      <x:c r="E25" s="41" t="n">
        <x:v>26</x:v>
      </x:c>
      <x:c r="F25" s="40" t="str">
        <x:v>左欄</x:v>
      </x:c>
      <x:c r="G25" s="38" t="n">
        <x:v>6</x:v>
      </x:c>
      <x:c r="H25" s="37" t="n">
        <x:v>400</x:v>
      </x:c>
      <x:c r="I25" s="37" t="n">
        <x:v>2</x:v>
      </x:c>
      <x:c r="J25" s="37" t="n">
        <x:v>0</x:v>
      </x:c>
      <x:c r="K25" s="36" t="n">
        <x:v>370</x:v>
      </x:c>
      <x:c r="L25" s="37" t="n">
        <x:v>30</x:v>
      </x:c>
      <x:c r="M25" s="42" t="n">
        <x:f>IF(G25="","",INDEX('規格與範圍'!$B$14:$B$23,MATCH(G25,'規格與範圍'!$A$14:$A$23,0)))</x:f>
        <x:v>2.25</x:v>
      </x:c>
      <x:c r="N25" s="42" t="n">
        <x:f>IF(OR(H25="",I25="",M25=""),"",H25*I25*M25/100)</x:f>
        <x:v>18</x:v>
      </x:c>
      <x:c r="O25" s="36" t="str">
        <x:v>友愛街 3F梁版往上 鋼筋料單 114.08.28.XLS｜工作表 01｜原列 26｜左欄</x:v>
      </x:c>
    </x:row>
    <x:row r="26" ht="15" hidden="0" customHeight="1">
      <x:c r="A26" s="40" t="str">
        <x:v>01</x:v>
      </x:c>
      <x:c r="B26" s="40" t="str">
        <x:v>3F</x:v>
      </x:c>
      <x:c r="C26" s="40" t="str">
        <x:v>梁版</x:v>
      </x:c>
      <x:c r="D26" s="40" t="str">
        <x:v>樑 筋</x:v>
      </x:c>
      <x:c r="E26" s="41" t="n">
        <x:v>27</x:v>
      </x:c>
      <x:c r="F26" s="40" t="str">
        <x:v>左欄</x:v>
      </x:c>
      <x:c r="G26" s="38" t="n">
        <x:v>6</x:v>
      </x:c>
      <x:c r="H26" s="37" t="n">
        <x:v>300</x:v>
      </x:c>
      <x:c r="I26" s="37" t="n">
        <x:v>20</x:v>
      </x:c>
      <x:c r="J26" s="37" t="n">
        <x:v>0</x:v>
      </x:c>
      <x:c r="K26" s="36" t="n">
        <x:v>270</x:v>
      </x:c>
      <x:c r="L26" s="37" t="n">
        <x:v>30</x:v>
      </x:c>
      <x:c r="M26" s="42" t="n">
        <x:f>IF(G26="","",INDEX('規格與範圍'!$B$14:$B$23,MATCH(G26,'規格與範圍'!$A$14:$A$23,0)))</x:f>
        <x:v>2.25</x:v>
      </x:c>
      <x:c r="N26" s="42" t="n">
        <x:f>IF(OR(H26="",I26="",M26=""),"",H26*I26*M26/100)</x:f>
        <x:v>135</x:v>
      </x:c>
      <x:c r="O26" s="36" t="str">
        <x:v>友愛街 3F梁版往上 鋼筋料單 114.08.28.XLS｜工作表 01｜原列 27｜左欄</x:v>
      </x:c>
    </x:row>
    <x:row r="27" ht="15" hidden="0" customHeight="1">
      <x:c r="A27" s="40" t="str">
        <x:v>01</x:v>
      </x:c>
      <x:c r="B27" s="40" t="str">
        <x:v>3F</x:v>
      </x:c>
      <x:c r="C27" s="40" t="str">
        <x:v>梁版</x:v>
      </x:c>
      <x:c r="D27" s="40" t="str">
        <x:v>樑 筋</x:v>
      </x:c>
      <x:c r="E27" s="41" t="n">
        <x:v>28</x:v>
      </x:c>
      <x:c r="F27" s="40" t="str">
        <x:v>左欄</x:v>
      </x:c>
      <x:c r="G27" s="38" t="n">
        <x:v>6</x:v>
      </x:c>
      <x:c r="H27" s="37" t="n">
        <x:v>250</x:v>
      </x:c>
      <x:c r="I27" s="37" t="n">
        <x:v>10</x:v>
      </x:c>
      <x:c r="J27" s="37" t="n">
        <x:v>0</x:v>
      </x:c>
      <x:c r="K27" s="36" t="n">
        <x:v>220</x:v>
      </x:c>
      <x:c r="L27" s="37" t="n">
        <x:v>30</x:v>
      </x:c>
      <x:c r="M27" s="42" t="n">
        <x:f>IF(G27="","",INDEX('規格與範圍'!$B$14:$B$23,MATCH(G27,'規格與範圍'!$A$14:$A$23,0)))</x:f>
        <x:v>2.25</x:v>
      </x:c>
      <x:c r="N27" s="42" t="n">
        <x:f>IF(OR(H27="",I27="",M27=""),"",H27*I27*M27/100)</x:f>
        <x:v>56.25</x:v>
      </x:c>
      <x:c r="O27" s="36" t="str">
        <x:v>友愛街 3F梁版往上 鋼筋料單 114.08.28.XLS｜工作表 01｜原列 28｜左欄</x:v>
      </x:c>
    </x:row>
    <x:row r="28" ht="15" hidden="0" customHeight="1">
      <x:c r="A28" s="40" t="str">
        <x:v>01</x:v>
      </x:c>
      <x:c r="B28" s="40" t="str">
        <x:v>3F</x:v>
      </x:c>
      <x:c r="C28" s="40" t="str">
        <x:v>梁版</x:v>
      </x:c>
      <x:c r="D28" s="40" t="str">
        <x:v>樑 筋</x:v>
      </x:c>
      <x:c r="E28" s="41" t="n">
        <x:v>29</x:v>
      </x:c>
      <x:c r="F28" s="40" t="str">
        <x:v>左欄</x:v>
      </x:c>
      <x:c r="G28" s="38" t="n">
        <x:v>6</x:v>
      </x:c>
      <x:c r="H28" s="37" t="n">
        <x:v>200</x:v>
      </x:c>
      <x:c r="I28" s="37" t="n">
        <x:v>4</x:v>
      </x:c>
      <x:c r="J28" s="37" t="n">
        <x:v>0</x:v>
      </x:c>
      <x:c r="K28" s="36" t="n">
        <x:v>170</x:v>
      </x:c>
      <x:c r="L28" s="37" t="n">
        <x:v>30</x:v>
      </x:c>
      <x:c r="M28" s="42" t="n">
        <x:f>IF(G28="","",INDEX('規格與範圍'!$B$14:$B$23,MATCH(G28,'規格與範圍'!$A$14:$A$23,0)))</x:f>
        <x:v>2.25</x:v>
      </x:c>
      <x:c r="N28" s="42" t="n">
        <x:f>IF(OR(H28="",I28="",M28=""),"",H28*I28*M28/100)</x:f>
        <x:v>18</x:v>
      </x:c>
      <x:c r="O28" s="36" t="str">
        <x:v>友愛街 3F梁版往上 鋼筋料單 114.08.28.XLS｜工作表 01｜原列 29｜左欄</x:v>
      </x:c>
    </x:row>
    <x:row r="29" ht="15" hidden="0" customHeight="1">
      <x:c r="A29" s="40" t="str">
        <x:v>01</x:v>
      </x:c>
      <x:c r="B29" s="40" t="str">
        <x:v>3F</x:v>
      </x:c>
      <x:c r="C29" s="40" t="str">
        <x:v>梁版</x:v>
      </x:c>
      <x:c r="D29" s="40" t="str">
        <x:v>樑 筋</x:v>
      </x:c>
      <x:c r="E29" s="41" t="n">
        <x:v>30</x:v>
      </x:c>
      <x:c r="F29" s="40" t="str">
        <x:v>左欄</x:v>
      </x:c>
      <x:c r="G29" s="38" t="n">
        <x:v>6</x:v>
      </x:c>
      <x:c r="H29" s="37" t="n">
        <x:v>400</x:v>
      </x:c>
      <x:c r="I29" s="37" t="n">
        <x:v>12</x:v>
      </x:c>
      <x:c r="J29" s="37"/>
      <x:c r="K29" s="36" t="n">
        <x:v>400</x:v>
      </x:c>
      <x:c r="L29" s="37"/>
      <x:c r="M29" s="42" t="n">
        <x:f>IF(G29="","",INDEX('規格與範圍'!$B$14:$B$23,MATCH(G29,'規格與範圍'!$A$14:$A$23,0)))</x:f>
        <x:v>2.25</x:v>
      </x:c>
      <x:c r="N29" s="42" t="n">
        <x:f>IF(OR(H29="",I29="",M29=""),"",H29*I29*M29/100)</x:f>
        <x:v>108</x:v>
      </x:c>
      <x:c r="O29" s="36" t="str">
        <x:v>友愛街 3F梁版往上 鋼筋料單 114.08.28.XLS｜工作表 01｜原列 30｜左欄</x:v>
      </x:c>
    </x:row>
    <x:row r="30" ht="15" hidden="0" customHeight="1">
      <x:c r="A30" s="40" t="str">
        <x:v>01</x:v>
      </x:c>
      <x:c r="B30" s="40" t="str">
        <x:v>3F</x:v>
      </x:c>
      <x:c r="C30" s="40" t="str">
        <x:v>梁版</x:v>
      </x:c>
      <x:c r="D30" s="40" t="str">
        <x:v>樑 筋</x:v>
      </x:c>
      <x:c r="E30" s="41" t="n">
        <x:v>31</x:v>
      </x:c>
      <x:c r="F30" s="40" t="str">
        <x:v>左欄</x:v>
      </x:c>
      <x:c r="G30" s="38" t="n">
        <x:v>6</x:v>
      </x:c>
      <x:c r="H30" s="37" t="n">
        <x:v>330</x:v>
      </x:c>
      <x:c r="I30" s="37" t="n">
        <x:v>6</x:v>
      </x:c>
      <x:c r="J30" s="37"/>
      <x:c r="K30" s="36" t="n">
        <x:v>300</x:v>
      </x:c>
      <x:c r="L30" s="37" t="n">
        <x:v>30</x:v>
      </x:c>
      <x:c r="M30" s="42" t="n">
        <x:f>IF(G30="","",INDEX('規格與範圍'!$B$14:$B$23,MATCH(G30,'規格與範圍'!$A$14:$A$23,0)))</x:f>
        <x:v>2.25</x:v>
      </x:c>
      <x:c r="N30" s="42" t="n">
        <x:f>IF(OR(H30="",I30="",M30=""),"",H30*I30*M30/100)</x:f>
        <x:v>44.55</x:v>
      </x:c>
      <x:c r="O30" s="36" t="str">
        <x:v>友愛街 3F梁版往上 鋼筋料單 114.08.28.XLS｜工作表 01｜原列 31｜左欄</x:v>
      </x:c>
    </x:row>
    <x:row r="31" ht="15" hidden="0" customHeight="1">
      <x:c r="A31" s="40" t="str">
        <x:v>01</x:v>
      </x:c>
      <x:c r="B31" s="40" t="str">
        <x:v>3F</x:v>
      </x:c>
      <x:c r="C31" s="40" t="str">
        <x:v>梁版</x:v>
      </x:c>
      <x:c r="D31" s="40" t="str">
        <x:v>下 層 版 筋</x:v>
      </x:c>
      <x:c r="E31" s="41" t="n">
        <x:v>33</x:v>
      </x:c>
      <x:c r="F31" s="40" t="str">
        <x:v>左欄</x:v>
      </x:c>
      <x:c r="G31" s="38" t="n">
        <x:v>3</x:v>
      </x:c>
      <x:c r="H31" s="37" t="n">
        <x:v>400</x:v>
      </x:c>
      <x:c r="I31" s="37" t="n">
        <x:v>26</x:v>
      </x:c>
      <x:c r="J31" s="37"/>
      <x:c r="K31" s="36" t="n">
        <x:v>385</x:v>
      </x:c>
      <x:c r="L31" s="37" t="n">
        <x:v>15</x:v>
      </x:c>
      <x:c r="M31" s="42" t="n">
        <x:f>IF(G31="","",INDEX('規格與範圍'!$B$14:$B$23,MATCH(G31,'規格與範圍'!$A$14:$A$23,0)))</x:f>
        <x:v>0.559</x:v>
      </x:c>
      <x:c r="N31" s="42" t="n">
        <x:f>IF(OR(H31="",I31="",M31=""),"",H31*I31*M31/100)</x:f>
        <x:v>58.136</x:v>
      </x:c>
      <x:c r="O31" s="36" t="str">
        <x:v>友愛街 3F梁版往上 鋼筋料單 114.08.28.XLS｜工作表 01｜原列 33｜左欄</x:v>
      </x:c>
    </x:row>
    <x:row r="32" ht="15" hidden="0" customHeight="1">
      <x:c r="A32" s="40" t="str">
        <x:v>01</x:v>
      </x:c>
      <x:c r="B32" s="40" t="str">
        <x:v>3F</x:v>
      </x:c>
      <x:c r="C32" s="40" t="str">
        <x:v>梁版</x:v>
      </x:c>
      <x:c r="D32" s="40" t="str">
        <x:v>下 層 版 筋</x:v>
      </x:c>
      <x:c r="E32" s="41" t="n">
        <x:v>34</x:v>
      </x:c>
      <x:c r="F32" s="40" t="str">
        <x:v>左欄</x:v>
      </x:c>
      <x:c r="G32" s="38" t="n">
        <x:v>3</x:v>
      </x:c>
      <x:c r="H32" s="37" t="n">
        <x:v>315</x:v>
      </x:c>
      <x:c r="I32" s="37" t="n">
        <x:v>29</x:v>
      </x:c>
      <x:c r="J32" s="37"/>
      <x:c r="K32" s="36" t="n">
        <x:v>300</x:v>
      </x:c>
      <x:c r="L32" s="37" t="n">
        <x:v>15</x:v>
      </x:c>
      <x:c r="M32" s="42" t="n">
        <x:f>IF(G32="","",INDEX('規格與範圍'!$B$14:$B$23,MATCH(G32,'規格與範圍'!$A$14:$A$23,0)))</x:f>
        <x:v>0.559</x:v>
      </x:c>
      <x:c r="N32" s="42" t="n">
        <x:f>IF(OR(H32="",I32="",M32=""),"",H32*I32*M32/100)</x:f>
        <x:v>51.06465</x:v>
      </x:c>
      <x:c r="O32" s="36" t="str">
        <x:v>友愛街 3F梁版往上 鋼筋料單 114.08.28.XLS｜工作表 01｜原列 34｜左欄</x:v>
      </x:c>
    </x:row>
    <x:row r="33" ht="15" hidden="0" customHeight="1">
      <x:c r="A33" s="40" t="str">
        <x:v>01</x:v>
      </x:c>
      <x:c r="B33" s="40" t="str">
        <x:v>3F</x:v>
      </x:c>
      <x:c r="C33" s="40" t="str">
        <x:v>梁版</x:v>
      </x:c>
      <x:c r="D33" s="40" t="str">
        <x:v>下 層 版 筋</x:v>
      </x:c>
      <x:c r="E33" s="41" t="n">
        <x:v>35</x:v>
      </x:c>
      <x:c r="F33" s="40" t="str">
        <x:v>左欄</x:v>
      </x:c>
      <x:c r="G33" s="38" t="n">
        <x:v>3</x:v>
      </x:c>
      <x:c r="H33" s="37" t="n">
        <x:v>250</x:v>
      </x:c>
      <x:c r="I33" s="37" t="n">
        <x:v>22</x:v>
      </x:c>
      <x:c r="J33" s="37"/>
      <x:c r="K33" s="36" t="n">
        <x:v>235</x:v>
      </x:c>
      <x:c r="L33" s="37" t="n">
        <x:v>15</x:v>
      </x:c>
      <x:c r="M33" s="42" t="n">
        <x:f>IF(G33="","",INDEX('規格與範圍'!$B$14:$B$23,MATCH(G33,'規格與範圍'!$A$14:$A$23,0)))</x:f>
        <x:v>0.559</x:v>
      </x:c>
      <x:c r="N33" s="42" t="n">
        <x:f>IF(OR(H33="",I33="",M33=""),"",H33*I33*M33/100)</x:f>
        <x:v>30.745000000000005</x:v>
      </x:c>
      <x:c r="O33" s="36" t="str">
        <x:v>友愛街 3F梁版往上 鋼筋料單 114.08.28.XLS｜工作表 01｜原列 35｜左欄</x:v>
      </x:c>
    </x:row>
    <x:row r="34" ht="15" hidden="0" customHeight="1">
      <x:c r="A34" s="40" t="str">
        <x:v>01</x:v>
      </x:c>
      <x:c r="B34" s="40" t="str">
        <x:v>3F</x:v>
      </x:c>
      <x:c r="C34" s="40" t="str">
        <x:v>梁版</x:v>
      </x:c>
      <x:c r="D34" s="40" t="str">
        <x:v>下 層 版 筋</x:v>
      </x:c>
      <x:c r="E34" s="41" t="n">
        <x:v>36</x:v>
      </x:c>
      <x:c r="F34" s="40" t="str">
        <x:v>左欄</x:v>
      </x:c>
      <x:c r="G34" s="38" t="n">
        <x:v>3</x:v>
      </x:c>
      <x:c r="H34" s="37" t="n">
        <x:v>200</x:v>
      </x:c>
      <x:c r="I34" s="37" t="n">
        <x:v>47</x:v>
      </x:c>
      <x:c r="J34" s="37"/>
      <x:c r="K34" s="36" t="n">
        <x:v>185</x:v>
      </x:c>
      <x:c r="L34" s="37" t="n">
        <x:v>15</x:v>
      </x:c>
      <x:c r="M34" s="42" t="n">
        <x:f>IF(G34="","",INDEX('規格與範圍'!$B$14:$B$23,MATCH(G34,'規格與範圍'!$A$14:$A$23,0)))</x:f>
        <x:v>0.559</x:v>
      </x:c>
      <x:c r="N34" s="42" t="n">
        <x:f>IF(OR(H34="",I34="",M34=""),"",H34*I34*M34/100)</x:f>
        <x:v>52.54600000000001</x:v>
      </x:c>
      <x:c r="O34" s="36" t="str">
        <x:v>友愛街 3F梁版往上 鋼筋料單 114.08.28.XLS｜工作表 01｜原列 36｜左欄</x:v>
      </x:c>
    </x:row>
    <x:row r="35" ht="15" hidden="0" customHeight="1">
      <x:c r="A35" s="40" t="str">
        <x:v>01</x:v>
      </x:c>
      <x:c r="B35" s="40" t="str">
        <x:v>3F</x:v>
      </x:c>
      <x:c r="C35" s="40" t="str">
        <x:v>梁版</x:v>
      </x:c>
      <x:c r="D35" s="40" t="str">
        <x:v>下 層 版 筋</x:v>
      </x:c>
      <x:c r="E35" s="41" t="n">
        <x:v>37</x:v>
      </x:c>
      <x:c r="F35" s="40" t="str">
        <x:v>左欄</x:v>
      </x:c>
      <x:c r="G35" s="38" t="n">
        <x:v>3</x:v>
      </x:c>
      <x:c r="H35" s="37" t="n">
        <x:v>700</x:v>
      </x:c>
      <x:c r="I35" s="37" t="n">
        <x:v>53</x:v>
      </x:c>
      <x:c r="J35" s="37"/>
      <x:c r="K35" s="36" t="n">
        <x:v>700</x:v>
      </x:c>
      <x:c r="L35" s="37"/>
      <x:c r="M35" s="42" t="n">
        <x:f>IF(G35="","",INDEX('規格與範圍'!$B$14:$B$23,MATCH(G35,'規格與範圍'!$A$14:$A$23,0)))</x:f>
        <x:v>0.559</x:v>
      </x:c>
      <x:c r="N35" s="42" t="n">
        <x:f>IF(OR(H35="",I35="",M35=""),"",H35*I35*M35/100)</x:f>
        <x:v>207.389</x:v>
      </x:c>
      <x:c r="O35" s="36" t="str">
        <x:v>友愛街 3F梁版往上 鋼筋料單 114.08.28.XLS｜工作表 01｜原列 37｜左欄</x:v>
      </x:c>
    </x:row>
    <x:row r="36" ht="15" hidden="0" customHeight="1">
      <x:c r="A36" s="40" t="str">
        <x:v>01</x:v>
      </x:c>
      <x:c r="B36" s="40" t="str">
        <x:v>3F</x:v>
      </x:c>
      <x:c r="C36" s="40" t="str">
        <x:v>梁版</x:v>
      </x:c>
      <x:c r="D36" s="40" t="str">
        <x:v>下 層 版 筋</x:v>
      </x:c>
      <x:c r="E36" s="41" t="n">
        <x:v>38</x:v>
      </x:c>
      <x:c r="F36" s="40" t="str">
        <x:v>左欄</x:v>
      </x:c>
      <x:c r="G36" s="38" t="n">
        <x:v>3</x:v>
      </x:c>
      <x:c r="H36" s="37" t="n">
        <x:v>500</x:v>
      </x:c>
      <x:c r="I36" s="37" t="n">
        <x:v>120</x:v>
      </x:c>
      <x:c r="J36" s="37"/>
      <x:c r="K36" s="36" t="n">
        <x:v>500</x:v>
      </x:c>
      <x:c r="L36" s="37"/>
      <x:c r="M36" s="42" t="n">
        <x:f>IF(G36="","",INDEX('規格與範圍'!$B$14:$B$23,MATCH(G36,'規格與範圍'!$A$14:$A$23,0)))</x:f>
        <x:v>0.559</x:v>
      </x:c>
      <x:c r="N36" s="42" t="n">
        <x:f>IF(OR(H36="",I36="",M36=""),"",H36*I36*M36/100)</x:f>
        <x:v>335.4</x:v>
      </x:c>
      <x:c r="O36" s="36" t="str">
        <x:v>友愛街 3F梁版往上 鋼筋料單 114.08.28.XLS｜工作表 01｜原列 38｜左欄</x:v>
      </x:c>
    </x:row>
    <x:row r="37" ht="15" hidden="0" customHeight="1">
      <x:c r="A37" s="40" t="str">
        <x:v>01</x:v>
      </x:c>
      <x:c r="B37" s="40" t="str">
        <x:v>3F</x:v>
      </x:c>
      <x:c r="C37" s="40" t="str">
        <x:v>梁版</x:v>
      </x:c>
      <x:c r="D37" s="40" t="str">
        <x:v>下 層 版 筋</x:v>
      </x:c>
      <x:c r="E37" s="41" t="n">
        <x:v>39</x:v>
      </x:c>
      <x:c r="F37" s="40" t="str">
        <x:v>左欄</x:v>
      </x:c>
      <x:c r="G37" s="38" t="n">
        <x:v>3</x:v>
      </x:c>
      <x:c r="H37" s="37" t="n">
        <x:v>420</x:v>
      </x:c>
      <x:c r="I37" s="37" t="n">
        <x:v>58</x:v>
      </x:c>
      <x:c r="J37" s="37"/>
      <x:c r="K37" s="36" t="n">
        <x:v>420</x:v>
      </x:c>
      <x:c r="L37" s="37"/>
      <x:c r="M37" s="42" t="n">
        <x:f>IF(G37="","",INDEX('規格與範圍'!$B$14:$B$23,MATCH(G37,'規格與範圍'!$A$14:$A$23,0)))</x:f>
        <x:v>0.559</x:v>
      </x:c>
      <x:c r="N37" s="42" t="n">
        <x:f>IF(OR(H37="",I37="",M37=""),"",H37*I37*M37/100)</x:f>
        <x:v>136.1724</x:v>
      </x:c>
      <x:c r="O37" s="36" t="str">
        <x:v>友愛街 3F梁版往上 鋼筋料單 114.08.28.XLS｜工作表 01｜原列 39｜左欄</x:v>
      </x:c>
    </x:row>
    <x:row r="38" ht="15" hidden="0" customHeight="1">
      <x:c r="A38" s="40" t="str">
        <x:v>01</x:v>
      </x:c>
      <x:c r="B38" s="40" t="str">
        <x:v>3F</x:v>
      </x:c>
      <x:c r="C38" s="40" t="str">
        <x:v>梁版</x:v>
      </x:c>
      <x:c r="D38" s="40" t="str">
        <x:v>下 層 版 筋</x:v>
      </x:c>
      <x:c r="E38" s="41" t="n">
        <x:v>40</x:v>
      </x:c>
      <x:c r="F38" s="40" t="str">
        <x:v>左欄</x:v>
      </x:c>
      <x:c r="G38" s="38" t="n">
        <x:v>3</x:v>
      </x:c>
      <x:c r="H38" s="37" t="n">
        <x:v>350</x:v>
      </x:c>
      <x:c r="I38" s="37" t="n">
        <x:v>78</x:v>
      </x:c>
      <x:c r="J38" s="37"/>
      <x:c r="K38" s="36" t="n">
        <x:v>350</x:v>
      </x:c>
      <x:c r="L38" s="37"/>
      <x:c r="M38" s="42" t="n">
        <x:f>IF(G38="","",INDEX('規格與範圍'!$B$14:$B$23,MATCH(G38,'規格與範圍'!$A$14:$A$23,0)))</x:f>
        <x:v>0.559</x:v>
      </x:c>
      <x:c r="N38" s="42" t="n">
        <x:f>IF(OR(H38="",I38="",M38=""),"",H38*I38*M38/100)</x:f>
        <x:v>152.607</x:v>
      </x:c>
      <x:c r="O38" s="36" t="str">
        <x:v>友愛街 3F梁版往上 鋼筋料單 114.08.28.XLS｜工作表 01｜原列 40｜左欄</x:v>
      </x:c>
    </x:row>
    <x:row r="39" ht="15" hidden="0" customHeight="1">
      <x:c r="A39" s="40" t="str">
        <x:v>01</x:v>
      </x:c>
      <x:c r="B39" s="40" t="str">
        <x:v>3F</x:v>
      </x:c>
      <x:c r="C39" s="40" t="str">
        <x:v>梁版</x:v>
      </x:c>
      <x:c r="D39" s="40" t="str">
        <x:v>下 層 版 筋</x:v>
      </x:c>
      <x:c r="E39" s="41" t="n">
        <x:v>41</x:v>
      </x:c>
      <x:c r="F39" s="40" t="str">
        <x:v>左欄</x:v>
      </x:c>
      <x:c r="G39" s="38" t="n">
        <x:v>3</x:v>
      </x:c>
      <x:c r="H39" s="37" t="n">
        <x:v>300</x:v>
      </x:c>
      <x:c r="I39" s="37" t="n">
        <x:v>47</x:v>
      </x:c>
      <x:c r="J39" s="37"/>
      <x:c r="K39" s="36" t="n">
        <x:v>300</x:v>
      </x:c>
      <x:c r="L39" s="37"/>
      <x:c r="M39" s="42" t="n">
        <x:f>IF(G39="","",INDEX('規格與範圍'!$B$14:$B$23,MATCH(G39,'規格與範圍'!$A$14:$A$23,0)))</x:f>
        <x:v>0.559</x:v>
      </x:c>
      <x:c r="N39" s="42" t="n">
        <x:f>IF(OR(H39="",I39="",M39=""),"",H39*I39*M39/100)</x:f>
        <x:v>78.819</x:v>
      </x:c>
      <x:c r="O39" s="36" t="str">
        <x:v>友愛街 3F梁版往上 鋼筋料單 114.08.28.XLS｜工作表 01｜原列 41｜左欄</x:v>
      </x:c>
    </x:row>
    <x:row r="40" ht="15" hidden="0" customHeight="1">
      <x:c r="A40" s="40" t="str">
        <x:v>01</x:v>
      </x:c>
      <x:c r="B40" s="40" t="str">
        <x:v>3F</x:v>
      </x:c>
      <x:c r="C40" s="40" t="str">
        <x:v>梁版</x:v>
      </x:c>
      <x:c r="D40" s="40" t="str">
        <x:v>上 層 版 筋</x:v>
      </x:c>
      <x:c r="E40" s="41" t="n">
        <x:v>44</x:v>
      </x:c>
      <x:c r="F40" s="40" t="str">
        <x:v>左欄</x:v>
      </x:c>
      <x:c r="G40" s="38" t="n">
        <x:v>4</x:v>
      </x:c>
      <x:c r="H40" s="37" t="n">
        <x:v>350</x:v>
      </x:c>
      <x:c r="I40" s="37" t="n">
        <x:v>27</x:v>
      </x:c>
      <x:c r="J40" s="37"/>
      <x:c r="K40" s="36" t="n">
        <x:v>330</x:v>
      </x:c>
      <x:c r="L40" s="37" t="n">
        <x:v>20</x:v>
      </x:c>
      <x:c r="M40" s="42" t="n">
        <x:f>IF(G40="","",INDEX('規格與範圍'!$B$14:$B$23,MATCH(G40,'規格與範圍'!$A$14:$A$23,0)))</x:f>
        <x:v>0.994</x:v>
      </x:c>
      <x:c r="N40" s="42" t="n">
        <x:f>IF(OR(H40="",I40="",M40=""),"",H40*I40*M40/100)</x:f>
        <x:v>93.93299999999999</x:v>
      </x:c>
      <x:c r="O40" s="36" t="str">
        <x:v>友愛街 3F梁版往上 鋼筋料單 114.08.28.XLS｜工作表 01｜原列 44｜左欄</x:v>
      </x:c>
    </x:row>
    <x:row r="41" ht="15" hidden="0" customHeight="1">
      <x:c r="A41" s="40" t="str">
        <x:v>01</x:v>
      </x:c>
      <x:c r="B41" s="40" t="str">
        <x:v>3F</x:v>
      </x:c>
      <x:c r="C41" s="40" t="str">
        <x:v>梁版</x:v>
      </x:c>
      <x:c r="D41" s="40" t="str">
        <x:v>上 層 版 筋</x:v>
      </x:c>
      <x:c r="E41" s="41" t="n">
        <x:v>45</x:v>
      </x:c>
      <x:c r="F41" s="40" t="str">
        <x:v>左欄</x:v>
      </x:c>
      <x:c r="G41" s="38" t="n">
        <x:v>4</x:v>
      </x:c>
      <x:c r="H41" s="37" t="n">
        <x:v>250</x:v>
      </x:c>
      <x:c r="I41" s="37" t="n">
        <x:v>22</x:v>
      </x:c>
      <x:c r="J41" s="37"/>
      <x:c r="K41" s="36" t="n">
        <x:v>230</x:v>
      </x:c>
      <x:c r="L41" s="37" t="n">
        <x:v>20</x:v>
      </x:c>
      <x:c r="M41" s="42" t="n">
        <x:f>IF(G41="","",INDEX('規格與範圍'!$B$14:$B$23,MATCH(G41,'規格與範圍'!$A$14:$A$23,0)))</x:f>
        <x:v>0.994</x:v>
      </x:c>
      <x:c r="N41" s="42" t="n">
        <x:f>IF(OR(H41="",I41="",M41=""),"",H41*I41*M41/100)</x:f>
        <x:v>54.67</x:v>
      </x:c>
      <x:c r="O41" s="36" t="str">
        <x:v>友愛街 3F梁版往上 鋼筋料單 114.08.28.XLS｜工作表 01｜原列 45｜左欄</x:v>
      </x:c>
    </x:row>
    <x:row r="42" ht="15" hidden="0" customHeight="1">
      <x:c r="A42" s="40" t="str">
        <x:v>01</x:v>
      </x:c>
      <x:c r="B42" s="40" t="str">
        <x:v>3F</x:v>
      </x:c>
      <x:c r="C42" s="40" t="str">
        <x:v>梁版</x:v>
      </x:c>
      <x:c r="D42" s="40" t="str">
        <x:v>上 層 版 筋</x:v>
      </x:c>
      <x:c r="E42" s="41" t="n">
        <x:v>46</x:v>
      </x:c>
      <x:c r="F42" s="40" t="str">
        <x:v>左欄</x:v>
      </x:c>
      <x:c r="G42" s="38" t="n">
        <x:v>4</x:v>
      </x:c>
      <x:c r="H42" s="37" t="n">
        <x:v>200</x:v>
      </x:c>
      <x:c r="I42" s="37" t="n">
        <x:v>70</x:v>
      </x:c>
      <x:c r="J42" s="37"/>
      <x:c r="K42" s="36" t="n">
        <x:v>180</x:v>
      </x:c>
      <x:c r="L42" s="37" t="n">
        <x:v>20</x:v>
      </x:c>
      <x:c r="M42" s="42" t="n">
        <x:f>IF(G42="","",INDEX('規格與範圍'!$B$14:$B$23,MATCH(G42,'規格與範圍'!$A$14:$A$23,0)))</x:f>
        <x:v>0.994</x:v>
      </x:c>
      <x:c r="N42" s="42" t="n">
        <x:f>IF(OR(H42="",I42="",M42=""),"",H42*I42*M42/100)</x:f>
        <x:v>139.16</x:v>
      </x:c>
      <x:c r="O42" s="36" t="str">
        <x:v>友愛街 3F梁版往上 鋼筋料單 114.08.28.XLS｜工作表 01｜原列 46｜左欄</x:v>
      </x:c>
    </x:row>
    <x:row r="43" ht="15" hidden="0" customHeight="1">
      <x:c r="A43" s="40" t="str">
        <x:v>01</x:v>
      </x:c>
      <x:c r="B43" s="40" t="str">
        <x:v>3F</x:v>
      </x:c>
      <x:c r="C43" s="40" t="str">
        <x:v>梁版</x:v>
      </x:c>
      <x:c r="D43" s="40" t="str">
        <x:v>上 層 版 筋</x:v>
      </x:c>
      <x:c r="E43" s="41" t="n">
        <x:v>48</x:v>
      </x:c>
      <x:c r="F43" s="40" t="str">
        <x:v>左欄</x:v>
      </x:c>
      <x:c r="G43" s="38" t="n">
        <x:v>3</x:v>
      </x:c>
      <x:c r="H43" s="37" t="n">
        <x:v>550</x:v>
      </x:c>
      <x:c r="I43" s="37" t="n">
        <x:v>111</x:v>
      </x:c>
      <x:c r="J43" s="37"/>
      <x:c r="K43" s="36" t="n">
        <x:v>535</x:v>
      </x:c>
      <x:c r="L43" s="37" t="n">
        <x:v>15</x:v>
      </x:c>
      <x:c r="M43" s="42" t="n">
        <x:f>IF(G43="","",INDEX('規格與範圍'!$B$14:$B$23,MATCH(G43,'規格與範圍'!$A$14:$A$23,0)))</x:f>
        <x:v>0.559</x:v>
      </x:c>
      <x:c r="N43" s="42" t="n">
        <x:f>IF(OR(H43="",I43="",M43=""),"",H43*I43*M43/100)</x:f>
        <x:v>341.26950000000005</x:v>
      </x:c>
      <x:c r="O43" s="36" t="str">
        <x:v>友愛街 3F梁版往上 鋼筋料單 114.08.28.XLS｜工作表 01｜原列 48｜左欄</x:v>
      </x:c>
    </x:row>
    <x:row r="44" ht="15" hidden="0" customHeight="1">
      <x:c r="A44" s="40" t="str">
        <x:v>01</x:v>
      </x:c>
      <x:c r="B44" s="40" t="str">
        <x:v>3F</x:v>
      </x:c>
      <x:c r="C44" s="40" t="str">
        <x:v>梁版</x:v>
      </x:c>
      <x:c r="D44" s="40" t="str">
        <x:v>上 層 版 筋</x:v>
      </x:c>
      <x:c r="E44" s="41" t="n">
        <x:v>49</x:v>
      </x:c>
      <x:c r="F44" s="40" t="str">
        <x:v>左欄</x:v>
      </x:c>
      <x:c r="G44" s="38" t="n">
        <x:v>3</x:v>
      </x:c>
      <x:c r="H44" s="37" t="n">
        <x:v>450</x:v>
      </x:c>
      <x:c r="I44" s="37" t="n">
        <x:v>36</x:v>
      </x:c>
      <x:c r="J44" s="37"/>
      <x:c r="K44" s="36" t="n">
        <x:v>435</x:v>
      </x:c>
      <x:c r="L44" s="37" t="n">
        <x:v>15</x:v>
      </x:c>
      <x:c r="M44" s="42" t="n">
        <x:f>IF(G44="","",INDEX('規格與範圍'!$B$14:$B$23,MATCH(G44,'規格與範圍'!$A$14:$A$23,0)))</x:f>
        <x:v>0.559</x:v>
      </x:c>
      <x:c r="N44" s="42" t="n">
        <x:f>IF(OR(H44="",I44="",M44=""),"",H44*I44*M44/100)</x:f>
        <x:v>90.558</x:v>
      </x:c>
      <x:c r="O44" s="36" t="str">
        <x:v>友愛街 3F梁版往上 鋼筋料單 114.08.28.XLS｜工作表 01｜原列 49｜左欄</x:v>
      </x:c>
    </x:row>
    <x:row r="45" ht="15" hidden="0" customHeight="1">
      <x:c r="A45" s="40" t="str">
        <x:v>01</x:v>
      </x:c>
      <x:c r="B45" s="40" t="str">
        <x:v>3F</x:v>
      </x:c>
      <x:c r="C45" s="40" t="str">
        <x:v>梁版</x:v>
      </x:c>
      <x:c r="D45" s="40" t="str">
        <x:v>上 層 版 筋</x:v>
      </x:c>
      <x:c r="E45" s="41" t="n">
        <x:v>50</x:v>
      </x:c>
      <x:c r="F45" s="40" t="str">
        <x:v>左欄</x:v>
      </x:c>
      <x:c r="G45" s="38" t="n">
        <x:v>3</x:v>
      </x:c>
      <x:c r="H45" s="37" t="n">
        <x:v>400</x:v>
      </x:c>
      <x:c r="I45" s="37" t="n">
        <x:v>64</x:v>
      </x:c>
      <x:c r="J45" s="37"/>
      <x:c r="K45" s="36" t="n">
        <x:v>385</x:v>
      </x:c>
      <x:c r="L45" s="37" t="n">
        <x:v>15</x:v>
      </x:c>
      <x:c r="M45" s="42" t="n">
        <x:f>IF(G45="","",INDEX('規格與範圍'!$B$14:$B$23,MATCH(G45,'規格與範圍'!$A$14:$A$23,0)))</x:f>
        <x:v>0.559</x:v>
      </x:c>
      <x:c r="N45" s="42" t="n">
        <x:f>IF(OR(H45="",I45="",M45=""),"",H45*I45*M45/100)</x:f>
        <x:v>143.104</x:v>
      </x:c>
      <x:c r="O45" s="36" t="str">
        <x:v>友愛街 3F梁版往上 鋼筋料單 114.08.28.XLS｜工作表 01｜原列 50｜左欄</x:v>
      </x:c>
    </x:row>
    <x:row r="46" ht="15" hidden="0" customHeight="1">
      <x:c r="A46" s="40" t="str">
        <x:v>01</x:v>
      </x:c>
      <x:c r="B46" s="40" t="str">
        <x:v>3F</x:v>
      </x:c>
      <x:c r="C46" s="40" t="str">
        <x:v>梁版</x:v>
      </x:c>
      <x:c r="D46" s="40" t="str">
        <x:v>上 層 版 筋</x:v>
      </x:c>
      <x:c r="E46" s="41" t="n">
        <x:v>51</x:v>
      </x:c>
      <x:c r="F46" s="40" t="str">
        <x:v>左欄</x:v>
      </x:c>
      <x:c r="G46" s="38" t="n">
        <x:v>3</x:v>
      </x:c>
      <x:c r="H46" s="37" t="n">
        <x:v>350</x:v>
      </x:c>
      <x:c r="I46" s="37" t="n">
        <x:v>17</x:v>
      </x:c>
      <x:c r="J46" s="37"/>
      <x:c r="K46" s="36" t="n">
        <x:v>335</x:v>
      </x:c>
      <x:c r="L46" s="37" t="n">
        <x:v>15</x:v>
      </x:c>
      <x:c r="M46" s="42" t="n">
        <x:f>IF(G46="","",INDEX('規格與範圍'!$B$14:$B$23,MATCH(G46,'規格與範圍'!$A$14:$A$23,0)))</x:f>
        <x:v>0.559</x:v>
      </x:c>
      <x:c r="N46" s="42" t="n">
        <x:f>IF(OR(H46="",I46="",M46=""),"",H46*I46*M46/100)</x:f>
        <x:v>33.2605</x:v>
      </x:c>
      <x:c r="O46" s="36" t="str">
        <x:v>友愛街 3F梁版往上 鋼筋料單 114.08.28.XLS｜工作表 01｜原列 51｜左欄</x:v>
      </x:c>
    </x:row>
    <x:row r="47" ht="15" hidden="0" customHeight="1">
      <x:c r="A47" s="40" t="str">
        <x:v>01</x:v>
      </x:c>
      <x:c r="B47" s="40" t="str">
        <x:v>3F</x:v>
      </x:c>
      <x:c r="C47" s="40" t="str">
        <x:v>梁版</x:v>
      </x:c>
      <x:c r="D47" s="40" t="str">
        <x:v>上 層 版 筋</x:v>
      </x:c>
      <x:c r="E47" s="41" t="n">
        <x:v>52</x:v>
      </x:c>
      <x:c r="F47" s="40" t="str">
        <x:v>左欄</x:v>
      </x:c>
      <x:c r="G47" s="38" t="n">
        <x:v>3</x:v>
      </x:c>
      <x:c r="H47" s="37" t="n">
        <x:v>315</x:v>
      </x:c>
      <x:c r="I47" s="37" t="n">
        <x:v>28</x:v>
      </x:c>
      <x:c r="J47" s="37"/>
      <x:c r="K47" s="36" t="n">
        <x:v>300</x:v>
      </x:c>
      <x:c r="L47" s="37" t="n">
        <x:v>15</x:v>
      </x:c>
      <x:c r="M47" s="42" t="n">
        <x:f>IF(G47="","",INDEX('規格與範圍'!$B$14:$B$23,MATCH(G47,'規格與範圍'!$A$14:$A$23,0)))</x:f>
        <x:v>0.559</x:v>
      </x:c>
      <x:c r="N47" s="42" t="n">
        <x:f>IF(OR(H47="",I47="",M47=""),"",H47*I47*M47/100)</x:f>
        <x:v>49.3038</x:v>
      </x:c>
      <x:c r="O47" s="36" t="str">
        <x:v>友愛街 3F梁版往上 鋼筋料單 114.08.28.XLS｜工作表 01｜原列 52｜左欄</x:v>
      </x:c>
    </x:row>
    <x:row r="48" ht="15" hidden="0" customHeight="1">
      <x:c r="A48" s="40" t="str">
        <x:v>01</x:v>
      </x:c>
      <x:c r="B48" s="40" t="str">
        <x:v>3F</x:v>
      </x:c>
      <x:c r="C48" s="40" t="str">
        <x:v>梁版</x:v>
      </x:c>
      <x:c r="D48" s="40" t="str">
        <x:v>上 層 版 筋</x:v>
      </x:c>
      <x:c r="E48" s="41" t="n">
        <x:v>53</x:v>
      </x:c>
      <x:c r="F48" s="40" t="str">
        <x:v>左欄</x:v>
      </x:c>
      <x:c r="G48" s="38" t="n">
        <x:v>3</x:v>
      </x:c>
      <x:c r="H48" s="37" t="n">
        <x:v>500</x:v>
      </x:c>
      <x:c r="I48" s="37" t="n">
        <x:v>29</x:v>
      </x:c>
      <x:c r="J48" s="37"/>
      <x:c r="K48" s="36" t="n">
        <x:v>500</x:v>
      </x:c>
      <x:c r="L48" s="37"/>
      <x:c r="M48" s="42" t="n">
        <x:f>IF(G48="","",INDEX('規格與範圍'!$B$14:$B$23,MATCH(G48,'規格與範圍'!$A$14:$A$23,0)))</x:f>
        <x:v>0.559</x:v>
      </x:c>
      <x:c r="N48" s="42" t="n">
        <x:f>IF(OR(H48="",I48="",M48=""),"",H48*I48*M48/100)</x:f>
        <x:v>81.055</x:v>
      </x:c>
      <x:c r="O48" s="36" t="str">
        <x:v>友愛街 3F梁版往上 鋼筋料單 114.08.28.XLS｜工作表 01｜原列 53｜左欄</x:v>
      </x:c>
    </x:row>
    <x:row r="49" ht="15" hidden="0" customHeight="1">
      <x:c r="A49" s="40" t="str">
        <x:v>01</x:v>
      </x:c>
      <x:c r="B49" s="40" t="str">
        <x:v>3F</x:v>
      </x:c>
      <x:c r="C49" s="40" t="str">
        <x:v>梁版</x:v>
      </x:c>
      <x:c r="D49" s="40" t="str">
        <x:v>上 層 版 筋</x:v>
      </x:c>
      <x:c r="E49" s="41" t="n">
        <x:v>54</x:v>
      </x:c>
      <x:c r="F49" s="40" t="str">
        <x:v>左欄</x:v>
      </x:c>
      <x:c r="G49" s="38" t="n">
        <x:v>3</x:v>
      </x:c>
      <x:c r="H49" s="37" t="n">
        <x:v>420</x:v>
      </x:c>
      <x:c r="I49" s="37" t="n">
        <x:v>72</x:v>
      </x:c>
      <x:c r="J49" s="37"/>
      <x:c r="K49" s="36" t="n">
        <x:v>420</x:v>
      </x:c>
      <x:c r="L49" s="37"/>
      <x:c r="M49" s="42" t="n">
        <x:f>IF(G49="","",INDEX('規格與範圍'!$B$14:$B$23,MATCH(G49,'規格與範圍'!$A$14:$A$23,0)))</x:f>
        <x:v>0.559</x:v>
      </x:c>
      <x:c r="N49" s="42" t="n">
        <x:f>IF(OR(H49="",I49="",M49=""),"",H49*I49*M49/100)</x:f>
        <x:v>169.0416</x:v>
      </x:c>
      <x:c r="O49" s="36" t="str">
        <x:v>友愛街 3F梁版往上 鋼筋料單 114.08.28.XLS｜工作表 01｜原列 54｜左欄</x:v>
      </x:c>
    </x:row>
    <x:row r="50" ht="15" hidden="0" customHeight="1">
      <x:c r="A50" s="40" t="str">
        <x:v>01</x:v>
      </x:c>
      <x:c r="B50" s="40" t="str">
        <x:v>3F</x:v>
      </x:c>
      <x:c r="C50" s="40" t="str">
        <x:v>梁版</x:v>
      </x:c>
      <x:c r="D50" s="40" t="str">
        <x:v>上 層 版 筋</x:v>
      </x:c>
      <x:c r="E50" s="41" t="n">
        <x:v>55</x:v>
      </x:c>
      <x:c r="F50" s="40" t="str">
        <x:v>左欄</x:v>
      </x:c>
      <x:c r="G50" s="38" t="n">
        <x:v>3</x:v>
      </x:c>
      <x:c r="H50" s="37" t="n">
        <x:v>350</x:v>
      </x:c>
      <x:c r="I50" s="37" t="n">
        <x:v>39</x:v>
      </x:c>
      <x:c r="J50" s="37"/>
      <x:c r="K50" s="36" t="n">
        <x:v>350</x:v>
      </x:c>
      <x:c r="L50" s="37"/>
      <x:c r="M50" s="42" t="n">
        <x:f>IF(G50="","",INDEX('規格與範圍'!$B$14:$B$23,MATCH(G50,'規格與範圍'!$A$14:$A$23,0)))</x:f>
        <x:v>0.559</x:v>
      </x:c>
      <x:c r="N50" s="42" t="n">
        <x:f>IF(OR(H50="",I50="",M50=""),"",H50*I50*M50/100)</x:f>
        <x:v>76.3035</x:v>
      </x:c>
      <x:c r="O50" s="36" t="str">
        <x:v>友愛街 3F梁版往上 鋼筋料單 114.08.28.XLS｜工作表 01｜原列 55｜左欄</x:v>
      </x:c>
    </x:row>
    <x:row r="51" ht="15" hidden="0" customHeight="1">
      <x:c r="A51" s="40" t="str">
        <x:v>01</x:v>
      </x:c>
      <x:c r="B51" s="40" t="str">
        <x:v>3F</x:v>
      </x:c>
      <x:c r="C51" s="40" t="str">
        <x:v>梁版</x:v>
      </x:c>
      <x:c r="D51" s="40" t="str">
        <x:v>上 層 版 筋</x:v>
      </x:c>
      <x:c r="E51" s="41" t="n">
        <x:v>56</x:v>
      </x:c>
      <x:c r="F51" s="40" t="str">
        <x:v>左欄</x:v>
      </x:c>
      <x:c r="G51" s="38" t="n">
        <x:v>3</x:v>
      </x:c>
      <x:c r="H51" s="37" t="n">
        <x:v>300</x:v>
      </x:c>
      <x:c r="I51" s="37" t="n">
        <x:v>49</x:v>
      </x:c>
      <x:c r="J51" s="37"/>
      <x:c r="K51" s="36" t="n">
        <x:v>300</x:v>
      </x:c>
      <x:c r="L51" s="37"/>
      <x:c r="M51" s="42" t="n">
        <x:f>IF(G51="","",INDEX('規格與範圍'!$B$14:$B$23,MATCH(G51,'規格與範圍'!$A$14:$A$23,0)))</x:f>
        <x:v>0.559</x:v>
      </x:c>
      <x:c r="N51" s="42" t="n">
        <x:f>IF(OR(H51="",I51="",M51=""),"",H51*I51*M51/100)</x:f>
        <x:v>82.17300000000002</x:v>
      </x:c>
      <x:c r="O51" s="36" t="str">
        <x:v>友愛街 3F梁版往上 鋼筋料單 114.08.28.XLS｜工作表 01｜原列 56｜左欄</x:v>
      </x:c>
    </x:row>
    <x:row r="52" ht="15" hidden="0" customHeight="1">
      <x:c r="A52" s="40" t="str">
        <x:v>01</x:v>
      </x:c>
      <x:c r="B52" s="40" t="str">
        <x:v>3F</x:v>
      </x:c>
      <x:c r="C52" s="40" t="str">
        <x:v>梁版</x:v>
      </x:c>
      <x:c r="D52" s="40" t="str">
        <x:v>樑 筋</x:v>
      </x:c>
      <x:c r="E52" s="41" t="n">
        <x:v>5</x:v>
      </x:c>
      <x:c r="F52" s="40" t="str">
        <x:v>右欄</x:v>
      </x:c>
      <x:c r="G52" s="38" t="n">
        <x:v>6</x:v>
      </x:c>
      <x:c r="H52" s="37" t="n">
        <x:v>600</x:v>
      </x:c>
      <x:c r="I52" s="37" t="n">
        <x:v>7</x:v>
      </x:c>
      <x:c r="J52" s="37" t="n">
        <x:v>0</x:v>
      </x:c>
      <x:c r="K52" s="36" t="n">
        <x:v>600</x:v>
      </x:c>
      <x:c r="L52" s="37" t="n">
        <x:v>0</x:v>
      </x:c>
      <x:c r="M52" s="42" t="n">
        <x:f>IF(G52="","",INDEX('規格與範圍'!$B$14:$B$23,MATCH(G52,'規格與範圍'!$A$14:$A$23,0)))</x:f>
        <x:v>2.25</x:v>
      </x:c>
      <x:c r="N52" s="42" t="n">
        <x:f>IF(OR(H52="",I52="",M52=""),"",H52*I52*M52/100)</x:f>
        <x:v>94.5</x:v>
      </x:c>
      <x:c r="O52" s="36" t="str">
        <x:v>友愛街 3F梁版往上 鋼筋料單 114.08.28.XLS｜工作表 01｜原列 5｜右欄</x:v>
      </x:c>
    </x:row>
    <x:row r="53" ht="15" hidden="0" customHeight="1">
      <x:c r="A53" s="40" t="str">
        <x:v>01</x:v>
      </x:c>
      <x:c r="B53" s="40" t="str">
        <x:v>3F</x:v>
      </x:c>
      <x:c r="C53" s="40" t="str">
        <x:v>梁版</x:v>
      </x:c>
      <x:c r="D53" s="40" t="str">
        <x:v>樑 筋</x:v>
      </x:c>
      <x:c r="E53" s="41" t="n">
        <x:v>6</x:v>
      </x:c>
      <x:c r="F53" s="40" t="str">
        <x:v>右欄</x:v>
      </x:c>
      <x:c r="G53" s="38" t="n">
        <x:v>6</x:v>
      </x:c>
      <x:c r="H53" s="37" t="n">
        <x:v>450</x:v>
      </x:c>
      <x:c r="I53" s="37" t="n">
        <x:v>2</x:v>
      </x:c>
      <x:c r="J53" s="37" t="n">
        <x:v>0</x:v>
      </x:c>
      <x:c r="K53" s="36" t="n">
        <x:v>450</x:v>
      </x:c>
      <x:c r="L53" s="37" t="n">
        <x:v>0</x:v>
      </x:c>
      <x:c r="M53" s="42" t="n">
        <x:f>IF(G53="","",INDEX('規格與範圍'!$B$14:$B$23,MATCH(G53,'規格與範圍'!$A$14:$A$23,0)))</x:f>
        <x:v>2.25</x:v>
      </x:c>
      <x:c r="N53" s="42" t="n">
        <x:f>IF(OR(H53="",I53="",M53=""),"",H53*I53*M53/100)</x:f>
        <x:v>20.25</x:v>
      </x:c>
      <x:c r="O53" s="36" t="str">
        <x:v>友愛街 3F梁版往上 鋼筋料單 114.08.28.XLS｜工作表 01｜原列 6｜右欄</x:v>
      </x:c>
    </x:row>
    <x:row r="54" ht="15" hidden="0" customHeight="1">
      <x:c r="A54" s="40" t="str">
        <x:v>01</x:v>
      </x:c>
      <x:c r="B54" s="40" t="str">
        <x:v>3F</x:v>
      </x:c>
      <x:c r="C54" s="40" t="str">
        <x:v>梁版</x:v>
      </x:c>
      <x:c r="D54" s="40" t="str">
        <x:v>樑 筋</x:v>
      </x:c>
      <x:c r="E54" s="41" t="n">
        <x:v>7</x:v>
      </x:c>
      <x:c r="F54" s="40" t="str">
        <x:v>右欄</x:v>
      </x:c>
      <x:c r="G54" s="38" t="n">
        <x:v>6</x:v>
      </x:c>
      <x:c r="H54" s="37" t="n">
        <x:v>400</x:v>
      </x:c>
      <x:c r="I54" s="37" t="n">
        <x:v>2</x:v>
      </x:c>
      <x:c r="J54" s="37" t="n">
        <x:v>0</x:v>
      </x:c>
      <x:c r="K54" s="36" t="n">
        <x:v>400</x:v>
      </x:c>
      <x:c r="L54" s="37" t="n">
        <x:v>0</x:v>
      </x:c>
      <x:c r="M54" s="42" t="n">
        <x:f>IF(G54="","",INDEX('規格與範圍'!$B$14:$B$23,MATCH(G54,'規格與範圍'!$A$14:$A$23,0)))</x:f>
        <x:v>2.25</x:v>
      </x:c>
      <x:c r="N54" s="42" t="n">
        <x:f>IF(OR(H54="",I54="",M54=""),"",H54*I54*M54/100)</x:f>
        <x:v>18</x:v>
      </x:c>
      <x:c r="O54" s="36" t="str">
        <x:v>友愛街 3F梁版往上 鋼筋料單 114.08.28.XLS｜工作表 01｜原列 7｜右欄</x:v>
      </x:c>
    </x:row>
    <x:row r="55" ht="15" hidden="0" customHeight="1">
      <x:c r="A55" s="40" t="str">
        <x:v>01</x:v>
      </x:c>
      <x:c r="B55" s="40" t="str">
        <x:v>3F</x:v>
      </x:c>
      <x:c r="C55" s="40" t="str">
        <x:v>梁版</x:v>
      </x:c>
      <x:c r="D55" s="40" t="str">
        <x:v>樑 筋</x:v>
      </x:c>
      <x:c r="E55" s="41" t="n">
        <x:v>8</x:v>
      </x:c>
      <x:c r="F55" s="40" t="str">
        <x:v>右欄</x:v>
      </x:c>
      <x:c r="G55" s="38" t="n">
        <x:v>6</x:v>
      </x:c>
      <x:c r="H55" s="37" t="n">
        <x:v>300</x:v>
      </x:c>
      <x:c r="I55" s="37" t="n">
        <x:v>1</x:v>
      </x:c>
      <x:c r="J55" s="37" t="n">
        <x:v>0</x:v>
      </x:c>
      <x:c r="K55" s="36" t="n">
        <x:v>300</x:v>
      </x:c>
      <x:c r="L55" s="37" t="n">
        <x:v>0</x:v>
      </x:c>
      <x:c r="M55" s="42" t="n">
        <x:f>IF(G55="","",INDEX('規格與範圍'!$B$14:$B$23,MATCH(G55,'規格與範圍'!$A$14:$A$23,0)))</x:f>
        <x:v>2.25</x:v>
      </x:c>
      <x:c r="N55" s="42" t="n">
        <x:f>IF(OR(H55="",I55="",M55=""),"",H55*I55*M55/100)</x:f>
        <x:v>6.75</x:v>
      </x:c>
      <x:c r="O55" s="36" t="str">
        <x:v>友愛街 3F梁版往上 鋼筋料單 114.08.28.XLS｜工作表 01｜原列 8｜右欄</x:v>
      </x:c>
    </x:row>
    <x:row r="56" ht="15" hidden="0" customHeight="1">
      <x:c r="A56" s="40" t="str">
        <x:v>01</x:v>
      </x:c>
      <x:c r="B56" s="40" t="str">
        <x:v>3F</x:v>
      </x:c>
      <x:c r="C56" s="40" t="str">
        <x:v>梁版</x:v>
      </x:c>
      <x:c r="D56" s="40" t="str">
        <x:v>樑 箍 筋</x:v>
      </x:c>
      <x:c r="E56" s="41" t="n">
        <x:v>11</x:v>
      </x:c>
      <x:c r="F56" s="40" t="str">
        <x:v>右欄</x:v>
      </x:c>
      <x:c r="G56" s="38" t="n">
        <x:v>4</x:v>
      </x:c>
      <x:c r="H56" s="37" t="n">
        <x:v>186</x:v>
      </x:c>
      <x:c r="I56" s="37" t="n">
        <x:v>252</x:v>
      </x:c>
      <x:c r="J56" s="37" t="str">
        <x:v>13 / 13</x:v>
      </x:c>
      <x:c r="K56" s="36"/>
      <x:c r="L56" s="37" t="n">
        <x:v>60</x:v>
      </x:c>
      <x:c r="M56" s="42" t="n">
        <x:f>IF(G56="","",INDEX('規格與範圍'!$B$14:$B$23,MATCH(G56,'規格與範圍'!$A$14:$A$23,0)))</x:f>
        <x:v>0.994</x:v>
      </x:c>
      <x:c r="N56" s="42" t="n">
        <x:f>IF(OR(H56="",I56="",M56=""),"",H56*I56*M56/100)</x:f>
        <x:v>465.90767999999997</x:v>
      </x:c>
      <x:c r="O56" s="36" t="str">
        <x:v>友愛街 3F梁版往上 鋼筋料單 114.08.28.XLS｜工作表 01｜原列 11｜右欄</x:v>
      </x:c>
    </x:row>
    <x:row r="57" ht="15" hidden="0" customHeight="1">
      <x:c r="A57" s="40" t="str">
        <x:v>01</x:v>
      </x:c>
      <x:c r="B57" s="40" t="str">
        <x:v>3F</x:v>
      </x:c>
      <x:c r="C57" s="40" t="str">
        <x:v>梁版</x:v>
      </x:c>
      <x:c r="D57" s="40" t="str">
        <x:v>樑 箍 筋</x:v>
      </x:c>
      <x:c r="E57" s="41" t="n">
        <x:v>13</x:v>
      </x:c>
      <x:c r="F57" s="40" t="str">
        <x:v>右欄</x:v>
      </x:c>
      <x:c r="G57" s="38" t="n">
        <x:v>4</x:v>
      </x:c>
      <x:c r="H57" s="37" t="n">
        <x:v>176</x:v>
      </x:c>
      <x:c r="I57" s="37" t="n">
        <x:v>170</x:v>
      </x:c>
      <x:c r="J57" s="37" t="str">
        <x:v>13 / 13</x:v>
      </x:c>
      <x:c r="K57" s="36"/>
      <x:c r="L57" s="37" t="n">
        <x:v>60</x:v>
      </x:c>
      <x:c r="M57" s="42" t="n">
        <x:f>IF(G57="","",INDEX('規格與範圍'!$B$14:$B$23,MATCH(G57,'規格與範圍'!$A$14:$A$23,0)))</x:f>
        <x:v>0.994</x:v>
      </x:c>
      <x:c r="N57" s="42" t="n">
        <x:f>IF(OR(H57="",I57="",M57=""),"",H57*I57*M57/100)</x:f>
        <x:v>297.4048</x:v>
      </x:c>
      <x:c r="O57" s="36" t="str">
        <x:v>友愛街 3F梁版往上 鋼筋料單 114.08.28.XLS｜工作表 01｜原列 13｜右欄</x:v>
      </x:c>
    </x:row>
    <x:row r="58" ht="15" hidden="0" customHeight="1">
      <x:c r="A58" s="40" t="str">
        <x:v>01</x:v>
      </x:c>
      <x:c r="B58" s="40" t="str">
        <x:v>3F</x:v>
      </x:c>
      <x:c r="C58" s="40" t="str">
        <x:v>梁版</x:v>
      </x:c>
      <x:c r="D58" s="40" t="str">
        <x:v>樑 箍 筋</x:v>
      </x:c>
      <x:c r="E58" s="41" t="n">
        <x:v>15</x:v>
      </x:c>
      <x:c r="F58" s="40" t="str">
        <x:v>右欄</x:v>
      </x:c>
      <x:c r="G58" s="38" t="n">
        <x:v>3</x:v>
      </x:c>
      <x:c r="H58" s="37" t="n">
        <x:v>147</x:v>
      </x:c>
      <x:c r="I58" s="37" t="n">
        <x:v>151</x:v>
      </x:c>
      <x:c r="J58" s="37" t="str">
        <x:v>11 / 11</x:v>
      </x:c>
      <x:c r="K58" s="36"/>
      <x:c r="L58" s="37" t="n">
        <x:v>50</x:v>
      </x:c>
      <x:c r="M58" s="42" t="n">
        <x:f>IF(G58="","",INDEX('規格與範圍'!$B$14:$B$23,MATCH(G58,'規格與範圍'!$A$14:$A$23,0)))</x:f>
        <x:v>0.559</x:v>
      </x:c>
      <x:c r="N58" s="42" t="n">
        <x:f>IF(OR(H58="",I58="",M58=""),"",H58*I58*M58/100)</x:f>
        <x:v>124.08123000000002</x:v>
      </x:c>
      <x:c r="O58" s="36" t="str">
        <x:v>友愛街 3F梁版往上 鋼筋料單 114.08.28.XLS｜工作表 01｜原列 15｜右欄</x:v>
      </x:c>
    </x:row>
    <x:row r="59" ht="15" hidden="0" customHeight="1">
      <x:c r="A59" s="40" t="str">
        <x:v>01</x:v>
      </x:c>
      <x:c r="B59" s="40" t="str">
        <x:v>3F</x:v>
      </x:c>
      <x:c r="C59" s="40" t="str">
        <x:v>梁版</x:v>
      </x:c>
      <x:c r="D59" s="40" t="str">
        <x:v>樑 箍 筋</x:v>
      </x:c>
      <x:c r="E59" s="41" t="n">
        <x:v>17</x:v>
      </x:c>
      <x:c r="F59" s="40" t="str">
        <x:v>右欄</x:v>
      </x:c>
      <x:c r="G59" s="38" t="n">
        <x:v>3</x:v>
      </x:c>
      <x:c r="H59" s="37" t="n">
        <x:v>119</x:v>
      </x:c>
      <x:c r="I59" s="37" t="n">
        <x:v>27</x:v>
      </x:c>
      <x:c r="J59" s="37" t="str">
        <x:v>11 / 11</x:v>
      </x:c>
      <x:c r="K59" s="36"/>
      <x:c r="L59" s="37" t="n">
        <x:v>40</x:v>
      </x:c>
      <x:c r="M59" s="42" t="n">
        <x:f>IF(G59="","",INDEX('規格與範圍'!$B$14:$B$23,MATCH(G59,'規格與範圍'!$A$14:$A$23,0)))</x:f>
        <x:v>0.559</x:v>
      </x:c>
      <x:c r="N59" s="42" t="n">
        <x:f>IF(OR(H59="",I59="",M59=""),"",H59*I59*M59/100)</x:f>
        <x:v>17.960670000000004</x:v>
      </x:c>
      <x:c r="O59" s="36" t="str">
        <x:v>友愛街 3F梁版往上 鋼筋料單 114.08.28.XLS｜工作表 01｜原列 17｜右欄</x:v>
      </x:c>
    </x:row>
    <x:row r="60" ht="15" hidden="0" customHeight="1">
      <x:c r="A60" s="40" t="str">
        <x:v>01</x:v>
      </x:c>
      <x:c r="B60" s="40" t="str">
        <x:v>3F</x:v>
      </x:c>
      <x:c r="C60" s="40" t="str">
        <x:v>梁版</x:v>
      </x:c>
      <x:c r="D60" s="40" t="str">
        <x:v>樑 箍 筋</x:v>
      </x:c>
      <x:c r="E60" s="41" t="n">
        <x:v>19</x:v>
      </x:c>
      <x:c r="F60" s="40" t="str">
        <x:v>右欄</x:v>
      </x:c>
      <x:c r="G60" s="38" t="n">
        <x:v>3</x:v>
      </x:c>
      <x:c r="H60" s="37" t="n">
        <x:v>99</x:v>
      </x:c>
      <x:c r="I60" s="37" t="n">
        <x:v>62</x:v>
      </x:c>
      <x:c r="J60" s="37" t="str">
        <x:v>11 / 11</x:v>
      </x:c>
      <x:c r="K60" s="36"/>
      <x:c r="L60" s="37" t="n">
        <x:v>30</x:v>
      </x:c>
      <x:c r="M60" s="42" t="n">
        <x:f>IF(G60="","",INDEX('規格與範圍'!$B$14:$B$23,MATCH(G60,'規格與範圍'!$A$14:$A$23,0)))</x:f>
        <x:v>0.559</x:v>
      </x:c>
      <x:c r="N60" s="42" t="n">
        <x:f>IF(OR(H60="",I60="",M60=""),"",H60*I60*M60/100)</x:f>
        <x:v>34.311420000000005</x:v>
      </x:c>
      <x:c r="O60" s="36" t="str">
        <x:v>友愛街 3F梁版往上 鋼筋料單 114.08.28.XLS｜工作表 01｜原列 19｜右欄</x:v>
      </x:c>
    </x:row>
    <x:row r="61" ht="15" hidden="0" customHeight="1">
      <x:c r="A61" s="40" t="str">
        <x:v>01</x:v>
      </x:c>
      <x:c r="B61" s="40" t="str">
        <x:v>3F</x:v>
      </x:c>
      <x:c r="C61" s="40" t="str">
        <x:v>梁版</x:v>
      </x:c>
      <x:c r="D61" s="40" t="str">
        <x:v>樑 箍 筋</x:v>
      </x:c>
      <x:c r="E61" s="41" t="n">
        <x:v>21</x:v>
      </x:c>
      <x:c r="F61" s="40" t="str">
        <x:v>右欄</x:v>
      </x:c>
      <x:c r="G61" s="38" t="n">
        <x:v>4</x:v>
      </x:c>
      <x:c r="H61" s="37" t="n">
        <x:v>65</x:v>
      </x:c>
      <x:c r="I61" s="37" t="n">
        <x:v>252</x:v>
      </x:c>
      <x:c r="J61" s="37" t="n">
        <x:v>12</x:v>
      </x:c>
      <x:c r="K61" s="36" t="n">
        <x:v>40</x:v>
      </x:c>
      <x:c r="L61" s="37" t="n">
        <x:v>13</x:v>
      </x:c>
      <x:c r="M61" s="42" t="n">
        <x:f>IF(G61="","",INDEX('規格與範圍'!$B$14:$B$23,MATCH(G61,'規格與範圍'!$A$14:$A$23,0)))</x:f>
        <x:v>0.994</x:v>
      </x:c>
      <x:c r="N61" s="42" t="n">
        <x:f>IF(OR(H61="",I61="",M61=""),"",H61*I61*M61/100)</x:f>
        <x:v>162.81719999999999</x:v>
      </x:c>
      <x:c r="O61" s="36" t="str">
        <x:v>友愛街 3F梁版往上 鋼筋料單 114.08.28.XLS｜工作表 01｜原列 21｜右欄</x:v>
      </x:c>
    </x:row>
    <x:row r="62" ht="15" hidden="0" customHeight="1">
      <x:c r="A62" s="40" t="str">
        <x:v>01</x:v>
      </x:c>
      <x:c r="B62" s="40" t="str">
        <x:v>3F</x:v>
      </x:c>
      <x:c r="C62" s="40" t="str">
        <x:v>梁版</x:v>
      </x:c>
      <x:c r="D62" s="40" t="str">
        <x:v>樑 箍 筋</x:v>
      </x:c>
      <x:c r="E62" s="41" t="n">
        <x:v>22</x:v>
      </x:c>
      <x:c r="F62" s="40" t="str">
        <x:v>右欄</x:v>
      </x:c>
      <x:c r="G62" s="38" t="n">
        <x:v>4</x:v>
      </x:c>
      <x:c r="H62" s="37" t="n">
        <x:v>55</x:v>
      </x:c>
      <x:c r="I62" s="37" t="n">
        <x:v>170</x:v>
      </x:c>
      <x:c r="J62" s="37" t="n">
        <x:v>12</x:v>
      </x:c>
      <x:c r="K62" s="36" t="n">
        <x:v>30</x:v>
      </x:c>
      <x:c r="L62" s="37" t="n">
        <x:v>13</x:v>
      </x:c>
      <x:c r="M62" s="42" t="n">
        <x:f>IF(G62="","",INDEX('規格與範圍'!$B$14:$B$23,MATCH(G62,'規格與範圍'!$A$14:$A$23,0)))</x:f>
        <x:v>0.994</x:v>
      </x:c>
      <x:c r="N62" s="42" t="n">
        <x:f>IF(OR(H62="",I62="",M62=""),"",H62*I62*M62/100)</x:f>
        <x:v>92.939</x:v>
      </x:c>
      <x:c r="O62" s="36" t="str">
        <x:v>友愛街 3F梁版往上 鋼筋料單 114.08.28.XLS｜工作表 01｜原列 22｜右欄</x:v>
      </x:c>
    </x:row>
    <x:row r="63" ht="15" hidden="0" customHeight="1">
      <x:c r="A63" s="40" t="str">
        <x:v>01</x:v>
      </x:c>
      <x:c r="B63" s="40" t="str">
        <x:v>3F</x:v>
      </x:c>
      <x:c r="C63" s="40" t="str">
        <x:v>梁版</x:v>
      </x:c>
      <x:c r="D63" s="40" t="str">
        <x:v>樑 箍 筋</x:v>
      </x:c>
      <x:c r="E63" s="41" t="n">
        <x:v>23</x:v>
      </x:c>
      <x:c r="F63" s="40" t="str">
        <x:v>右欄</x:v>
      </x:c>
      <x:c r="G63" s="38" t="n">
        <x:v>3</x:v>
      </x:c>
      <x:c r="H63" s="37" t="n">
        <x:v>45</x:v>
      </x:c>
      <x:c r="I63" s="37" t="n">
        <x:v>151</x:v>
      </x:c>
      <x:c r="J63" s="37" t="n">
        <x:v>9</x:v>
      </x:c>
      <x:c r="K63" s="36" t="n">
        <x:v>25</x:v>
      </x:c>
      <x:c r="L63" s="37" t="n">
        <x:v>11</x:v>
      </x:c>
      <x:c r="M63" s="42" t="n">
        <x:f>IF(G63="","",INDEX('規格與範圍'!$B$14:$B$23,MATCH(G63,'規格與範圍'!$A$14:$A$23,0)))</x:f>
        <x:v>0.559</x:v>
      </x:c>
      <x:c r="N63" s="42" t="n">
        <x:f>IF(OR(H63="",I63="",M63=""),"",H63*I63*M63/100)</x:f>
        <x:v>37.98405</x:v>
      </x:c>
      <x:c r="O63" s="36" t="str">
        <x:v>友愛街 3F梁版往上 鋼筋料單 114.08.28.XLS｜工作表 01｜原列 23｜右欄</x:v>
      </x:c>
    </x:row>
    <x:row r="64" ht="15" hidden="0" customHeight="1">
      <x:c r="A64" s="40" t="str">
        <x:v>01</x:v>
      </x:c>
      <x:c r="B64" s="40" t="str">
        <x:v>3F</x:v>
      </x:c>
      <x:c r="C64" s="40" t="str">
        <x:v>梁版</x:v>
      </x:c>
      <x:c r="D64" s="40" t="str">
        <x:v>樑 箍 筋</x:v>
      </x:c>
      <x:c r="E64" s="41" t="n">
        <x:v>24</x:v>
      </x:c>
      <x:c r="F64" s="40" t="str">
        <x:v>右欄</x:v>
      </x:c>
      <x:c r="G64" s="38" t="n">
        <x:v>3</x:v>
      </x:c>
      <x:c r="H64" s="37" t="n">
        <x:v>37</x:v>
      </x:c>
      <x:c r="I64" s="37" t="n">
        <x:v>89</x:v>
      </x:c>
      <x:c r="J64" s="37" t="n">
        <x:v>9</x:v>
      </x:c>
      <x:c r="K64" s="36" t="n">
        <x:v>17</x:v>
      </x:c>
      <x:c r="L64" s="37" t="n">
        <x:v>11</x:v>
      </x:c>
      <x:c r="M64" s="42" t="n">
        <x:f>IF(G64="","",INDEX('規格與範圍'!$B$14:$B$23,MATCH(G64,'規格與範圍'!$A$14:$A$23,0)))</x:f>
        <x:v>0.559</x:v>
      </x:c>
      <x:c r="N64" s="42" t="n">
        <x:f>IF(OR(H64="",I64="",M64=""),"",H64*I64*M64/100)</x:f>
        <x:v>18.407870000000003</x:v>
      </x:c>
      <x:c r="O64" s="36" t="str">
        <x:v>友愛街 3F梁版往上 鋼筋料單 114.08.28.XLS｜工作表 01｜原列 24｜右欄</x:v>
      </x:c>
    </x:row>
    <x:row r="65" ht="15" hidden="0" customHeight="1">
      <x:c r="A65" s="40" t="str">
        <x:v>01</x:v>
      </x:c>
      <x:c r="B65" s="40" t="str">
        <x:v>3F</x:v>
      </x:c>
      <x:c r="C65" s="40" t="str">
        <x:v>梁版</x:v>
      </x:c>
      <x:c r="D65" s="40" t="str">
        <x:v>樑 腰 筋</x:v>
      </x:c>
      <x:c r="E65" s="41" t="n">
        <x:v>27</x:v>
      </x:c>
      <x:c r="F65" s="40" t="str">
        <x:v>右欄</x:v>
      </x:c>
      <x:c r="G65" s="38" t="n">
        <x:v>4</x:v>
      </x:c>
      <x:c r="H65" s="37" t="n">
        <x:v>500</x:v>
      </x:c>
      <x:c r="I65" s="37" t="n">
        <x:v>16</x:v>
      </x:c>
      <x:c r="J65" s="37" t="n">
        <x:v>0</x:v>
      </x:c>
      <x:c r="K65" s="36" t="n">
        <x:v>500</x:v>
      </x:c>
      <x:c r="L65" s="37" t="n">
        <x:v>0</x:v>
      </x:c>
      <x:c r="M65" s="42" t="n">
        <x:f>IF(G65="","",INDEX('規格與範圍'!$B$14:$B$23,MATCH(G65,'規格與範圍'!$A$14:$A$23,0)))</x:f>
        <x:v>0.994</x:v>
      </x:c>
      <x:c r="N65" s="42" t="n">
        <x:f>IF(OR(H65="",I65="",M65=""),"",H65*I65*M65/100)</x:f>
        <x:v>79.52</x:v>
      </x:c>
      <x:c r="O65" s="36" t="str">
        <x:v>友愛街 3F梁版往上 鋼筋料單 114.08.28.XLS｜工作表 01｜原列 27｜右欄</x:v>
      </x:c>
    </x:row>
    <x:row r="66" ht="15" hidden="0" customHeight="1">
      <x:c r="A66" s="40" t="str">
        <x:v>01</x:v>
      </x:c>
      <x:c r="B66" s="40" t="str">
        <x:v>3F</x:v>
      </x:c>
      <x:c r="C66" s="40" t="str">
        <x:v>梁版</x:v>
      </x:c>
      <x:c r="D66" s="40" t="str">
        <x:v>樑 工 作 筋</x:v>
      </x:c>
      <x:c r="E66" s="41" t="n">
        <x:v>30</x:v>
      </x:c>
      <x:c r="F66" s="40" t="str">
        <x:v>右欄</x:v>
      </x:c>
      <x:c r="G66" s="38" t="n">
        <x:v>8</x:v>
      </x:c>
      <x:c r="H66" s="37" t="n">
        <x:v>70</x:v>
      </x:c>
      <x:c r="I66" s="37" t="n">
        <x:v>40</x:v>
      </x:c>
      <x:c r="J66" s="37"/>
      <x:c r="K66" s="36" t="n">
        <x:v>70</x:v>
      </x:c>
      <x:c r="L66" s="37"/>
      <x:c r="M66" s="42" t="n">
        <x:f>IF(G66="","",INDEX('規格與範圍'!$B$14:$B$23,MATCH(G66,'規格與範圍'!$A$14:$A$23,0)))</x:f>
        <x:v>3.98</x:v>
      </x:c>
      <x:c r="N66" s="42" t="n">
        <x:f>IF(OR(H66="",I66="",M66=""),"",H66*I66*M66/100)</x:f>
        <x:v>111.44</x:v>
      </x:c>
      <x:c r="O66" s="36" t="str">
        <x:v>友愛街 3F梁版往上 鋼筋料單 114.08.28.XLS｜工作表 01｜原列 30｜右欄</x:v>
      </x:c>
    </x:row>
    <x:row r="67" ht="15" hidden="0" customHeight="1">
      <x:c r="A67" s="40" t="str">
        <x:v>01</x:v>
      </x:c>
      <x:c r="B67" s="40" t="str">
        <x:v>3F</x:v>
      </x:c>
      <x:c r="C67" s="40" t="str">
        <x:v>梁版</x:v>
      </x:c>
      <x:c r="D67" s="40" t="str">
        <x:v>樑 工 作 筋</x:v>
      </x:c>
      <x:c r="E67" s="41" t="n">
        <x:v>31</x:v>
      </x:c>
      <x:c r="F67" s="40" t="str">
        <x:v>右欄</x:v>
      </x:c>
      <x:c r="G67" s="38" t="n">
        <x:v>3</x:v>
      </x:c>
      <x:c r="H67" s="37" t="n">
        <x:v>50</x:v>
      </x:c>
      <x:c r="I67" s="37" t="n">
        <x:v>15</x:v>
      </x:c>
      <x:c r="J67" s="37"/>
      <x:c r="K67" s="36" t="n">
        <x:v>50</x:v>
      </x:c>
      <x:c r="L67" s="37"/>
      <x:c r="M67" s="42" t="n">
        <x:f>IF(G67="","",INDEX('規格與範圍'!$B$14:$B$23,MATCH(G67,'規格與範圍'!$A$14:$A$23,0)))</x:f>
        <x:v>0.559</x:v>
      </x:c>
      <x:c r="N67" s="42" t="n">
        <x:f>IF(OR(H67="",I67="",M67=""),"",H67*I67*M67/100)</x:f>
        <x:v>4.192500000000001</x:v>
      </x:c>
      <x:c r="O67" s="36" t="str">
        <x:v>友愛街 3F梁版往上 鋼筋料單 114.08.28.XLS｜工作表 01｜原列 31｜右欄</x:v>
      </x:c>
    </x:row>
    <x:row r="68" ht="15" hidden="0" customHeight="1">
      <x:c r="A68" s="40" t="str">
        <x:v>01</x:v>
      </x:c>
      <x:c r="B68" s="40" t="str">
        <x:v>3F</x:v>
      </x:c>
      <x:c r="C68" s="40" t="str">
        <x:v>梁版</x:v>
      </x:c>
      <x:c r="D68" s="40" t="str">
        <x:v>版 工 作 筋</x:v>
      </x:c>
      <x:c r="E68" s="41" t="n">
        <x:v>33</x:v>
      </x:c>
      <x:c r="F68" s="40" t="str">
        <x:v>右欄</x:v>
      </x:c>
      <x:c r="G68" s="38" t="n">
        <x:v>4</x:v>
      </x:c>
      <x:c r="H68" s="37" t="n">
        <x:v>500</x:v>
      </x:c>
      <x:c r="I68" s="37" t="n">
        <x:v>75</x:v>
      </x:c>
      <x:c r="J68" s="37"/>
      <x:c r="K68" s="36" t="n">
        <x:v>500</x:v>
      </x:c>
      <x:c r="L68" s="37"/>
      <x:c r="M68" s="42" t="n">
        <x:f>IF(G68="","",INDEX('規格與範圍'!$B$14:$B$23,MATCH(G68,'規格與範圍'!$A$14:$A$23,0)))</x:f>
        <x:v>0.994</x:v>
      </x:c>
      <x:c r="N68" s="42" t="n">
        <x:f>IF(OR(H68="",I68="",M68=""),"",H68*I68*M68/100)</x:f>
        <x:v>372.75</x:v>
      </x:c>
      <x:c r="O68" s="36" t="str">
        <x:v>友愛街 3F梁版往上 鋼筋料單 114.08.28.XLS｜工作表 01｜原列 33｜右欄</x:v>
      </x:c>
    </x:row>
    <x:row r="69" ht="15" hidden="0" customHeight="1">
      <x:c r="A69" s="40" t="str">
        <x:v>01</x:v>
      </x:c>
      <x:c r="B69" s="40" t="str">
        <x:v>3F</x:v>
      </x:c>
      <x:c r="C69" s="40" t="str">
        <x:v>梁版</x:v>
      </x:c>
      <x:c r="D69" s="40" t="str">
        <x:v>版 工 作 筋</x:v>
      </x:c>
      <x:c r="E69" s="41" t="n">
        <x:v>35</x:v>
      </x:c>
      <x:c r="F69" s="40" t="str">
        <x:v>右欄</x:v>
      </x:c>
      <x:c r="G69" s="38" t="n">
        <x:v>4</x:v>
      </x:c>
      <x:c r="H69" s="37" t="n">
        <x:v>106</x:v>
      </x:c>
      <x:c r="I69" s="37" t="n">
        <x:v>130</x:v>
      </x:c>
      <x:c r="J69" s="37" t="n">
        <x:v>30</x:v>
      </x:c>
      <x:c r="K69" s="36"/>
      <x:c r="L69" s="37" t="n">
        <x:v>8</x:v>
      </x:c>
      <x:c r="M69" s="42" t="n">
        <x:f>IF(G69="","",INDEX('規格與範圍'!$B$14:$B$23,MATCH(G69,'規格與範圍'!$A$14:$A$23,0)))</x:f>
        <x:v>0.994</x:v>
      </x:c>
      <x:c r="N69" s="42" t="n">
        <x:f>IF(OR(H69="",I69="",M69=""),"",H69*I69*M69/100)</x:f>
        <x:v>136.9732</x:v>
      </x:c>
      <x:c r="O69" s="36" t="str">
        <x:v>友愛街 3F梁版往上 鋼筋料單 114.08.28.XLS｜工作表 01｜原列 35｜右欄</x:v>
      </x:c>
    </x:row>
    <x:row r="70" ht="15" hidden="0" customHeight="1">
      <x:c r="A70" s="40" t="str">
        <x:v>01</x:v>
      </x:c>
      <x:c r="B70" s="40" t="str">
        <x:v>3F</x:v>
      </x:c>
      <x:c r="C70" s="40" t="str">
        <x:v>梁版</x:v>
      </x:c>
      <x:c r="D70" s="40" t="str">
        <x:v>牆 預 留 筋</x:v>
      </x:c>
      <x:c r="E70" s="41" t="n">
        <x:v>39</x:v>
      </x:c>
      <x:c r="F70" s="40" t="str">
        <x:v>右欄</x:v>
      </x:c>
      <x:c r="G70" s="38" t="n">
        <x:v>3</x:v>
      </x:c>
      <x:c r="H70" s="37" t="n">
        <x:v>80</x:v>
      </x:c>
      <x:c r="I70" s="37" t="n">
        <x:v>10</x:v>
      </x:c>
      <x:c r="J70" s="37"/>
      <x:c r="K70" s="36" t="n">
        <x:v>60</x:v>
      </x:c>
      <x:c r="L70" s="37" t="n">
        <x:v>20</x:v>
      </x:c>
      <x:c r="M70" s="42" t="n">
        <x:f>IF(G70="","",INDEX('規格與範圍'!$B$14:$B$23,MATCH(G70,'規格與範圍'!$A$14:$A$23,0)))</x:f>
        <x:v>0.559</x:v>
      </x:c>
      <x:c r="N70" s="42" t="n">
        <x:f>IF(OR(H70="",I70="",M70=""),"",H70*I70*M70/100)</x:f>
        <x:v>4.472</x:v>
      </x:c>
      <x:c r="O70" s="36" t="str">
        <x:v>友愛街 3F梁版往上 鋼筋料單 114.08.28.XLS｜工作表 01｜原列 39｜右欄</x:v>
      </x:c>
    </x:row>
    <x:row r="71" ht="15" hidden="0" customHeight="1">
      <x:c r="A71" s="40" t="str">
        <x:v>01</x:v>
      </x:c>
      <x:c r="B71" s="40" t="str">
        <x:v>3F</x:v>
      </x:c>
      <x:c r="C71" s="40" t="str">
        <x:v>梁版</x:v>
      </x:c>
      <x:c r="D71" s="40" t="str">
        <x:v>牆 預 留 筋</x:v>
      </x:c>
      <x:c r="E71" s="41" t="n">
        <x:v>40</x:v>
      </x:c>
      <x:c r="F71" s="40" t="str">
        <x:v>右欄</x:v>
      </x:c>
      <x:c r="G71" s="38" t="n">
        <x:v>3</x:v>
      </x:c>
      <x:c r="H71" s="37" t="n">
        <x:v>135</x:v>
      </x:c>
      <x:c r="I71" s="37" t="n">
        <x:v>150</x:v>
      </x:c>
      <x:c r="J71" s="37"/>
      <x:c r="K71" s="36" t="n">
        <x:v>135</x:v>
      </x:c>
      <x:c r="L71" s="37"/>
      <x:c r="M71" s="42" t="n">
        <x:f>IF(G71="","",INDEX('規格與範圍'!$B$14:$B$23,MATCH(G71,'規格與範圍'!$A$14:$A$23,0)))</x:f>
        <x:v>0.559</x:v>
      </x:c>
      <x:c r="N71" s="42" t="n">
        <x:f>IF(OR(H71="",I71="",M71=""),"",H71*I71*M71/100)</x:f>
        <x:v>113.19750000000002</x:v>
      </x:c>
      <x:c r="O71" s="36" t="str">
        <x:v>友愛街 3F梁版往上 鋼筋料單 114.08.28.XLS｜工作表 01｜原列 40｜右欄</x:v>
      </x:c>
    </x:row>
    <x:row r="72" ht="15" hidden="0" customHeight="1">
      <x:c r="A72" s="40" t="str">
        <x:v>01</x:v>
      </x:c>
      <x:c r="B72" s="40" t="str">
        <x:v>3F</x:v>
      </x:c>
      <x:c r="C72" s="40" t="str">
        <x:v>梁版</x:v>
      </x:c>
      <x:c r="D72" s="40" t="str">
        <x:v>樓 梯</x:v>
      </x:c>
      <x:c r="E72" s="41" t="n">
        <x:v>42</x:v>
      </x:c>
      <x:c r="F72" s="40" t="str">
        <x:v>右欄</x:v>
      </x:c>
      <x:c r="G72" s="38" t="n">
        <x:v>4</x:v>
      </x:c>
      <x:c r="H72" s="37" t="n">
        <x:v>450</x:v>
      </x:c>
      <x:c r="I72" s="37" t="n">
        <x:v>44</x:v>
      </x:c>
      <x:c r="J72" s="37"/>
      <x:c r="K72" s="36" t="n">
        <x:v>430</x:v>
      </x:c>
      <x:c r="L72" s="37" t="n">
        <x:v>20</x:v>
      </x:c>
      <x:c r="M72" s="42" t="n">
        <x:f>IF(G72="","",INDEX('規格與範圍'!$B$14:$B$23,MATCH(G72,'規格與範圍'!$A$14:$A$23,0)))</x:f>
        <x:v>0.994</x:v>
      </x:c>
      <x:c r="N72" s="42" t="n">
        <x:f>IF(OR(H72="",I72="",M72=""),"",H72*I72*M72/100)</x:f>
        <x:v>196.812</x:v>
      </x:c>
      <x:c r="O72" s="36" t="str">
        <x:v>友愛街 3F梁版往上 鋼筋料單 114.08.28.XLS｜工作表 01｜原列 42｜右欄</x:v>
      </x:c>
    </x:row>
    <x:row r="73" ht="15" hidden="0" customHeight="1">
      <x:c r="A73" s="40" t="str">
        <x:v>01</x:v>
      </x:c>
      <x:c r="B73" s="40" t="str">
        <x:v>3F</x:v>
      </x:c>
      <x:c r="C73" s="40" t="str">
        <x:v>梁版</x:v>
      </x:c>
      <x:c r="D73" s="40" t="str">
        <x:v>樓 梯</x:v>
      </x:c>
      <x:c r="E73" s="41" t="n">
        <x:v>43</x:v>
      </x:c>
      <x:c r="F73" s="40" t="str">
        <x:v>右欄</x:v>
      </x:c>
      <x:c r="G73" s="38" t="n">
        <x:v>4</x:v>
      </x:c>
      <x:c r="H73" s="37" t="n">
        <x:v>140</x:v>
      </x:c>
      <x:c r="I73" s="37" t="n">
        <x:v>22</x:v>
      </x:c>
      <x:c r="J73" s="37"/>
      <x:c r="K73" s="36" t="n">
        <x:v>120</x:v>
      </x:c>
      <x:c r="L73" s="37" t="n">
        <x:v>20</x:v>
      </x:c>
      <x:c r="M73" s="42" t="n">
        <x:f>IF(G73="","",INDEX('規格與範圍'!$B$14:$B$23,MATCH(G73,'規格與範圍'!$A$14:$A$23,0)))</x:f>
        <x:v>0.994</x:v>
      </x:c>
      <x:c r="N73" s="42" t="n">
        <x:f>IF(OR(H73="",I73="",M73=""),"",H73*I73*M73/100)</x:f>
        <x:v>30.6152</x:v>
      </x:c>
      <x:c r="O73" s="36" t="str">
        <x:v>友愛街 3F梁版往上 鋼筋料單 114.08.28.XLS｜工作表 01｜原列 43｜右欄</x:v>
      </x:c>
    </x:row>
    <x:row r="74" ht="15" hidden="0" customHeight="1">
      <x:c r="A74" s="40" t="str">
        <x:v>01</x:v>
      </x:c>
      <x:c r="B74" s="40" t="str">
        <x:v>3F</x:v>
      </x:c>
      <x:c r="C74" s="40" t="str">
        <x:v>梁版</x:v>
      </x:c>
      <x:c r="D74" s="40" t="str">
        <x:v>樓 梯</x:v>
      </x:c>
      <x:c r="E74" s="41" t="n">
        <x:v>44</x:v>
      </x:c>
      <x:c r="F74" s="40" t="str">
        <x:v>右欄</x:v>
      </x:c>
      <x:c r="G74" s="38" t="n">
        <x:v>4</x:v>
      </x:c>
      <x:c r="H74" s="37" t="n">
        <x:v>120</x:v>
      </x:c>
      <x:c r="I74" s="37" t="n">
        <x:v>22</x:v>
      </x:c>
      <x:c r="J74" s="37"/>
      <x:c r="K74" s="36" t="n">
        <x:v>120</x:v>
      </x:c>
      <x:c r="L74" s="37"/>
      <x:c r="M74" s="42" t="n">
        <x:f>IF(G74="","",INDEX('規格與範圍'!$B$14:$B$23,MATCH(G74,'規格與範圍'!$A$14:$A$23,0)))</x:f>
        <x:v>0.994</x:v>
      </x:c>
      <x:c r="N74" s="42" t="n">
        <x:f>IF(OR(H74="",I74="",M74=""),"",H74*I74*M74/100)</x:f>
        <x:v>26.2416</x:v>
      </x:c>
      <x:c r="O74" s="36" t="str">
        <x:v>友愛街 3F梁版往上 鋼筋料單 114.08.28.XLS｜工作表 01｜原列 44｜右欄</x:v>
      </x:c>
    </x:row>
    <x:row r="75" ht="15" hidden="0" customHeight="1">
      <x:c r="A75" s="40" t="str">
        <x:v>01</x:v>
      </x:c>
      <x:c r="B75" s="40" t="str">
        <x:v>3F</x:v>
      </x:c>
      <x:c r="C75" s="40" t="str">
        <x:v>梁版</x:v>
      </x:c>
      <x:c r="D75" s="40" t="str">
        <x:v>樓 梯</x:v>
      </x:c>
      <x:c r="E75" s="41" t="n">
        <x:v>46</x:v>
      </x:c>
      <x:c r="F75" s="40" t="str">
        <x:v>右欄</x:v>
      </x:c>
      <x:c r="G75" s="38" t="n">
        <x:v>3</x:v>
      </x:c>
      <x:c r="H75" s="37" t="n">
        <x:v>200</x:v>
      </x:c>
      <x:c r="I75" s="37" t="n">
        <x:v>16</x:v>
      </x:c>
      <x:c r="J75" s="37"/>
      <x:c r="K75" s="36" t="n">
        <x:v>185</x:v>
      </x:c>
      <x:c r="L75" s="37" t="n">
        <x:v>15</x:v>
      </x:c>
      <x:c r="M75" s="42" t="n">
        <x:f>IF(G75="","",INDEX('規格與範圍'!$B$14:$B$23,MATCH(G75,'規格與範圍'!$A$14:$A$23,0)))</x:f>
        <x:v>0.559</x:v>
      </x:c>
      <x:c r="N75" s="42" t="n">
        <x:f>IF(OR(H75="",I75="",M75=""),"",H75*I75*M75/100)</x:f>
        <x:v>17.888</x:v>
      </x:c>
      <x:c r="O75" s="36" t="str">
        <x:v>友愛街 3F梁版往上 鋼筋料單 114.08.28.XLS｜工作表 01｜原列 46｜右欄</x:v>
      </x:c>
    </x:row>
    <x:row r="76" ht="15" hidden="0" customHeight="1">
      <x:c r="A76" s="40" t="str">
        <x:v>01</x:v>
      </x:c>
      <x:c r="B76" s="40" t="str">
        <x:v>3F</x:v>
      </x:c>
      <x:c r="C76" s="40" t="str">
        <x:v>梁版</x:v>
      </x:c>
      <x:c r="D76" s="40" t="str">
        <x:v>樓 梯</x:v>
      </x:c>
      <x:c r="E76" s="41" t="n">
        <x:v>47</x:v>
      </x:c>
      <x:c r="F76" s="40" t="str">
        <x:v>右欄</x:v>
      </x:c>
      <x:c r="G76" s="38" t="n">
        <x:v>3</x:v>
      </x:c>
      <x:c r="H76" s="37" t="n">
        <x:v>120</x:v>
      </x:c>
      <x:c r="I76" s="37" t="n">
        <x:v>84</x:v>
      </x:c>
      <x:c r="J76" s="37"/>
      <x:c r="K76" s="36" t="n">
        <x:v>105</x:v>
      </x:c>
      <x:c r="L76" s="37" t="n">
        <x:v>15</x:v>
      </x:c>
      <x:c r="M76" s="42" t="n">
        <x:f>IF(G76="","",INDEX('規格與範圍'!$B$14:$B$23,MATCH(G76,'規格與範圍'!$A$14:$A$23,0)))</x:f>
        <x:v>0.559</x:v>
      </x:c>
      <x:c r="N76" s="42" t="n">
        <x:f>IF(OR(H76="",I76="",M76=""),"",H76*I76*M76/100)</x:f>
        <x:v>56.3472</x:v>
      </x:c>
      <x:c r="O76" s="36" t="str">
        <x:v>友愛街 3F梁版往上 鋼筋料單 114.08.28.XLS｜工作表 01｜原列 47｜右欄</x:v>
      </x:c>
    </x:row>
    <x:row r="77" ht="15" hidden="0" customHeight="1">
      <x:c r="A77" s="40" t="str">
        <x:v>01</x:v>
      </x:c>
      <x:c r="B77" s="40" t="str">
        <x:v>3F</x:v>
      </x:c>
      <x:c r="C77" s="40" t="str">
        <x:v>梁版</x:v>
      </x:c>
      <x:c r="D77" s="40" t="str">
        <x:v>樓 梯</x:v>
      </x:c>
      <x:c r="E77" s="41" t="n">
        <x:v>48</x:v>
      </x:c>
      <x:c r="F77" s="40" t="str">
        <x:v>右欄</x:v>
      </x:c>
      <x:c r="G77" s="38" t="n">
        <x:v>3</x:v>
      </x:c>
      <x:c r="H77" s="37" t="n">
        <x:v>180</x:v>
      </x:c>
      <x:c r="I77" s="37" t="n">
        <x:v>16</x:v>
      </x:c>
      <x:c r="J77" s="37"/>
      <x:c r="K77" s="36" t="n">
        <x:v>180</x:v>
      </x:c>
      <x:c r="L77" s="37"/>
      <x:c r="M77" s="42" t="n">
        <x:f>IF(G77="","",INDEX('規格與範圍'!$B$14:$B$23,MATCH(G77,'規格與範圍'!$A$14:$A$23,0)))</x:f>
        <x:v>0.559</x:v>
      </x:c>
      <x:c r="N77" s="42" t="n">
        <x:f>IF(OR(H77="",I77="",M77=""),"",H77*I77*M77/100)</x:f>
        <x:v>16.0992</x:v>
      </x:c>
      <x:c r="O77" s="36" t="str">
        <x:v>友愛街 3F梁版往上 鋼筋料單 114.08.28.XLS｜工作表 01｜原列 48｜右欄</x:v>
      </x:c>
    </x:row>
    <x:row r="78" ht="15" hidden="0" customHeight="1">
      <x:c r="A78" s="40" t="str">
        <x:v>01</x:v>
      </x:c>
      <x:c r="B78" s="40" t="str">
        <x:v>3F</x:v>
      </x:c>
      <x:c r="C78" s="40" t="str">
        <x:v>梁版</x:v>
      </x:c>
      <x:c r="D78" s="40" t="str">
        <x:v>樓 梯</x:v>
      </x:c>
      <x:c r="E78" s="41" t="n">
        <x:v>50</x:v>
      </x:c>
      <x:c r="F78" s="40" t="str">
        <x:v>右欄</x:v>
      </x:c>
      <x:c r="G78" s="38" t="n">
        <x:v>3</x:v>
      </x:c>
      <x:c r="H78" s="37" t="n">
        <x:v>220</x:v>
      </x:c>
      <x:c r="I78" s="37" t="n">
        <x:v>14</x:v>
      </x:c>
      <x:c r="J78" s="37"/>
      <x:c r="K78" s="36" t="n">
        <x:v>100</x:v>
      </x:c>
      <x:c r="L78" s="37"/>
      <x:c r="M78" s="42" t="n">
        <x:f>IF(G78="","",INDEX('規格與範圍'!$B$14:$B$23,MATCH(G78,'規格與範圍'!$A$14:$A$23,0)))</x:f>
        <x:v>0.559</x:v>
      </x:c>
      <x:c r="N78" s="42" t="n">
        <x:f>IF(OR(H78="",I78="",M78=""),"",H78*I78*M78/100)</x:f>
        <x:v>17.217200000000002</x:v>
      </x:c>
      <x:c r="O78" s="36" t="str">
        <x:v>友愛街 3F梁版往上 鋼筋料單 114.08.28.XLS｜工作表 01｜原列 50｜右欄</x:v>
      </x:c>
    </x:row>
    <x:row r="79" ht="15" hidden="0" customHeight="1">
      <x:c r="A79" s="40" t="str">
        <x:v>01</x:v>
      </x:c>
      <x:c r="B79" s="40" t="str">
        <x:v>3F</x:v>
      </x:c>
      <x:c r="C79" s="40" t="str">
        <x:v>梁版</x:v>
      </x:c>
      <x:c r="D79" s="40" t="str">
        <x:v>柱 收 頭</x:v>
      </x:c>
      <x:c r="E79" s="41" t="n">
        <x:v>54</x:v>
      </x:c>
      <x:c r="F79" s="40" t="str">
        <x:v>右欄</x:v>
      </x:c>
      <x:c r="G79" s="38" t="n">
        <x:v>8</x:v>
      </x:c>
      <x:c r="H79" s="37" t="n">
        <x:v>220</x:v>
      </x:c>
      <x:c r="I79" s="37" t="n">
        <x:v>8</x:v>
      </x:c>
      <x:c r="J79" s="37"/>
      <x:c r="K79" s="36" t="n">
        <x:v>180</x:v>
      </x:c>
      <x:c r="L79" s="37" t="n">
        <x:v>40</x:v>
      </x:c>
      <x:c r="M79" s="42" t="n">
        <x:f>IF(G79="","",INDEX('規格與範圍'!$B$14:$B$23,MATCH(G79,'規格與範圍'!$A$14:$A$23,0)))</x:f>
        <x:v>3.98</x:v>
      </x:c>
      <x:c r="N79" s="42" t="n">
        <x:f>IF(OR(H79="",I79="",M79=""),"",H79*I79*M79/100)</x:f>
        <x:v>70.048</x:v>
      </x:c>
      <x:c r="O79" s="36" t="str">
        <x:v>友愛街 3F梁版往上 鋼筋料單 114.08.28.XLS｜工作表 01｜原列 54｜右欄</x:v>
      </x:c>
    </x:row>
    <x:row r="80" ht="15" hidden="0" customHeight="1">
      <x:c r="A80" s="40" t="str">
        <x:v>02</x:v>
      </x:c>
      <x:c r="B80" s="40" t="str">
        <x:v>3F</x:v>
      </x:c>
      <x:c r="C80" s="40" t="str">
        <x:v>柱牆</x:v>
      </x:c>
      <x:c r="D80" s="40" t="str">
        <x:v>柱 筋</x:v>
      </x:c>
      <x:c r="E80" s="41" t="n">
        <x:v>5</x:v>
      </x:c>
      <x:c r="F80" s="40" t="str">
        <x:v>左欄</x:v>
      </x:c>
      <x:c r="G80" s="38" t="n">
        <x:v>8</x:v>
      </x:c>
      <x:c r="H80" s="37" t="n">
        <x:v>340</x:v>
      </x:c>
      <x:c r="I80" s="37" t="n">
        <x:v>116</x:v>
      </x:c>
      <x:c r="J80" s="37"/>
      <x:c r="K80" s="36" t="n">
        <x:v>340</x:v>
      </x:c>
      <x:c r="L80" s="37"/>
      <x:c r="M80" s="42" t="n">
        <x:f>IF(G80="","",INDEX('規格與範圍'!$B$14:$B$23,MATCH(G80,'規格與範圍'!$A$14:$A$23,0)))</x:f>
        <x:v>3.98</x:v>
      </x:c>
      <x:c r="N80" s="42" t="n">
        <x:f>IF(OR(H80="",I80="",M80=""),"",H80*I80*M80/100)</x:f>
        <x:v>1569.7120000000002</x:v>
      </x:c>
      <x:c r="O80" s="36" t="str">
        <x:v>友愛街 3F梁版往上 鋼筋料單 114.08.28.XLS｜工作表 02｜原列 5｜左欄</x:v>
      </x:c>
    </x:row>
    <x:row r="81" ht="15" hidden="0" customHeight="1">
      <x:c r="A81" s="40" t="str">
        <x:v>02</x:v>
      </x:c>
      <x:c r="B81" s="40" t="str">
        <x:v>3F</x:v>
      </x:c>
      <x:c r="C81" s="40" t="str">
        <x:v>柱牆</x:v>
      </x:c>
      <x:c r="D81" s="40" t="str">
        <x:v>柱 筋</x:v>
      </x:c>
      <x:c r="E81" s="41" t="n">
        <x:v>7</x:v>
      </x:c>
      <x:c r="F81" s="40" t="str">
        <x:v>左欄</x:v>
      </x:c>
      <x:c r="G81" s="38" t="n">
        <x:v>4</x:v>
      </x:c>
      <x:c r="H81" s="37" t="n">
        <x:v>326</x:v>
      </x:c>
      <x:c r="I81" s="37" t="n">
        <x:v>35</x:v>
      </x:c>
      <x:c r="J81" s="37" t="n">
        <x:v>13</x:v>
      </x:c>
      <x:c r="K81" s="36"/>
      <x:c r="L81" s="37" t="n">
        <x:v>60</x:v>
      </x:c>
      <x:c r="M81" s="42" t="n">
        <x:f>IF(G81="","",INDEX('規格與範圍'!$B$14:$B$23,MATCH(G81,'規格與範圍'!$A$14:$A$23,0)))</x:f>
        <x:v>0.994</x:v>
      </x:c>
      <x:c r="N81" s="42" t="n">
        <x:f>IF(OR(H81="",I81="",M81=""),"",H81*I81*M81/100)</x:f>
        <x:v>113.41539999999999</x:v>
      </x:c>
      <x:c r="O81" s="36" t="str">
        <x:v>友愛街 3F梁版往上 鋼筋料單 114.08.28.XLS｜工作表 02｜原列 7｜左欄</x:v>
      </x:c>
    </x:row>
    <x:row r="82" ht="15" hidden="0" customHeight="1">
      <x:c r="A82" s="40" t="str">
        <x:v>02</x:v>
      </x:c>
      <x:c r="B82" s="40" t="str">
        <x:v>3F</x:v>
      </x:c>
      <x:c r="C82" s="40" t="str">
        <x:v>柱牆</x:v>
      </x:c>
      <x:c r="D82" s="40" t="str">
        <x:v>柱 筋</x:v>
      </x:c>
      <x:c r="E82" s="41" t="n">
        <x:v>9</x:v>
      </x:c>
      <x:c r="F82" s="40" t="str">
        <x:v>左欄</x:v>
      </x:c>
      <x:c r="G82" s="38" t="n">
        <x:v>4</x:v>
      </x:c>
      <x:c r="H82" s="37" t="n">
        <x:v>226</x:v>
      </x:c>
      <x:c r="I82" s="37" t="n">
        <x:v>175</x:v>
      </x:c>
      <x:c r="J82" s="37" t="n">
        <x:v>13</x:v>
      </x:c>
      <x:c r="K82" s="36"/>
      <x:c r="L82" s="37" t="n">
        <x:v>40</x:v>
      </x:c>
      <x:c r="M82" s="42" t="n">
        <x:f>IF(G82="","",INDEX('規格與範圍'!$B$14:$B$23,MATCH(G82,'規格與範圍'!$A$14:$A$23,0)))</x:f>
        <x:v>0.994</x:v>
      </x:c>
      <x:c r="N82" s="42" t="n">
        <x:f>IF(OR(H82="",I82="",M82=""),"",H82*I82*M82/100)</x:f>
        <x:v>393.12699999999995</x:v>
      </x:c>
      <x:c r="O82" s="36" t="str">
        <x:v>友愛街 3F梁版往上 鋼筋料單 114.08.28.XLS｜工作表 02｜原列 9｜左欄</x:v>
      </x:c>
    </x:row>
    <x:row r="83" ht="15" hidden="0" customHeight="1">
      <x:c r="A83" s="40" t="str">
        <x:v>02</x:v>
      </x:c>
      <x:c r="B83" s="40" t="str">
        <x:v>3F</x:v>
      </x:c>
      <x:c r="C83" s="40" t="str">
        <x:v>柱牆</x:v>
      </x:c>
      <x:c r="D83" s="40" t="str">
        <x:v>柱 筋</x:v>
      </x:c>
      <x:c r="E83" s="41" t="n">
        <x:v>12</x:v>
      </x:c>
      <x:c r="F83" s="40" t="str">
        <x:v>左欄</x:v>
      </x:c>
      <x:c r="G83" s="38" t="n">
        <x:v>4</x:v>
      </x:c>
      <x:c r="H83" s="37" t="n">
        <x:v>116</x:v>
      </x:c>
      <x:c r="I83" s="37" t="n">
        <x:v>68</x:v>
      </x:c>
      <x:c r="J83" s="37" t="n">
        <x:v>12</x:v>
      </x:c>
      <x:c r="K83" s="36" t="n">
        <x:v>91</x:v>
      </x:c>
      <x:c r="L83" s="37" t="n">
        <x:v>13</x:v>
      </x:c>
      <x:c r="M83" s="42" t="n">
        <x:f>IF(G83="","",INDEX('規格與範圍'!$B$14:$B$23,MATCH(G83,'規格與範圍'!$A$14:$A$23,0)))</x:f>
        <x:v>0.994</x:v>
      </x:c>
      <x:c r="N83" s="42" t="n">
        <x:f>IF(OR(H83="",I83="",M83=""),"",H83*I83*M83/100)</x:f>
        <x:v>78.40671999999999</x:v>
      </x:c>
      <x:c r="O83" s="36" t="str">
        <x:v>友愛街 3F梁版往上 鋼筋料單 114.08.28.XLS｜工作表 02｜原列 12｜左欄</x:v>
      </x:c>
    </x:row>
    <x:row r="84" ht="15" hidden="0" customHeight="1">
      <x:c r="A84" s="40" t="str">
        <x:v>02</x:v>
      </x:c>
      <x:c r="B84" s="40" t="str">
        <x:v>3F</x:v>
      </x:c>
      <x:c r="C84" s="40" t="str">
        <x:v>柱牆</x:v>
      </x:c>
      <x:c r="D84" s="40" t="str">
        <x:v>柱 筋</x:v>
      </x:c>
      <x:c r="E84" s="41" t="n">
        <x:v>13</x:v>
      </x:c>
      <x:c r="F84" s="40" t="str">
        <x:v>左欄</x:v>
      </x:c>
      <x:c r="G84" s="38" t="n">
        <x:v>4</x:v>
      </x:c>
      <x:c r="H84" s="37" t="n">
        <x:v>86</x:v>
      </x:c>
      <x:c r="I84" s="37" t="n">
        <x:v>476</x:v>
      </x:c>
      <x:c r="J84" s="37" t="n">
        <x:v>12</x:v>
      </x:c>
      <x:c r="K84" s="36" t="n">
        <x:v>61</x:v>
      </x:c>
      <x:c r="L84" s="37" t="n">
        <x:v>13</x:v>
      </x:c>
      <x:c r="M84" s="42" t="n">
        <x:f>IF(G84="","",INDEX('規格與範圍'!$B$14:$B$23,MATCH(G84,'規格與範圍'!$A$14:$A$23,0)))</x:f>
        <x:v>0.994</x:v>
      </x:c>
      <x:c r="N84" s="42" t="n">
        <x:f>IF(OR(H84="",I84="",M84=""),"",H84*I84*M84/100)</x:f>
        <x:v>406.90384</x:v>
      </x:c>
      <x:c r="O84" s="36" t="str">
        <x:v>友愛街 3F梁版往上 鋼筋料單 114.08.28.XLS｜工作表 02｜原列 13｜左欄</x:v>
      </x:c>
    </x:row>
    <x:row r="85" ht="15" hidden="0" customHeight="1">
      <x:c r="A85" s="40" t="str">
        <x:v>02</x:v>
      </x:c>
      <x:c r="B85" s="40" t="str">
        <x:v>3F</x:v>
      </x:c>
      <x:c r="C85" s="40" t="str">
        <x:v>柱牆</x:v>
      </x:c>
      <x:c r="D85" s="40" t="str">
        <x:v>柱 筋</x:v>
      </x:c>
      <x:c r="E85" s="41" t="n">
        <x:v>14</x:v>
      </x:c>
      <x:c r="F85" s="40" t="str">
        <x:v>左欄</x:v>
      </x:c>
      <x:c r="G85" s="38" t="n">
        <x:v>4</x:v>
      </x:c>
      <x:c r="H85" s="37" t="n">
        <x:v>66</x:v>
      </x:c>
      <x:c r="I85" s="37" t="n">
        <x:v>340</x:v>
      </x:c>
      <x:c r="J85" s="37" t="n">
        <x:v>12</x:v>
      </x:c>
      <x:c r="K85" s="36" t="n">
        <x:v>41</x:v>
      </x:c>
      <x:c r="L85" s="37" t="n">
        <x:v>13</x:v>
      </x:c>
      <x:c r="M85" s="42" t="n">
        <x:f>IF(G85="","",INDEX('規格與範圍'!$B$14:$B$23,MATCH(G85,'規格與範圍'!$A$14:$A$23,0)))</x:f>
        <x:v>0.994</x:v>
      </x:c>
      <x:c r="N85" s="42" t="n">
        <x:f>IF(OR(H85="",I85="",M85=""),"",H85*I85*M85/100)</x:f>
        <x:v>223.05360000000002</x:v>
      </x:c>
      <x:c r="O85" s="36" t="str">
        <x:v>友愛街 3F梁版往上 鋼筋料單 114.08.28.XLS｜工作表 02｜原列 14｜左欄</x:v>
      </x:c>
    </x:row>
    <x:row r="86" ht="15" hidden="0" customHeight="1">
      <x:c r="A86" s="40" t="str">
        <x:v>02</x:v>
      </x:c>
      <x:c r="B86" s="40" t="str">
        <x:v>3F</x:v>
      </x:c>
      <x:c r="C86" s="40" t="str">
        <x:v>柱牆</x:v>
      </x:c>
      <x:c r="D86" s="40" t="str">
        <x:v>牆 主 筋</x:v>
      </x:c>
      <x:c r="E86" s="41" t="n">
        <x:v>17</x:v>
      </x:c>
      <x:c r="F86" s="40" t="str">
        <x:v>左欄</x:v>
      </x:c>
      <x:c r="G86" s="38" t="n">
        <x:v>4</x:v>
      </x:c>
      <x:c r="H86" s="37" t="n">
        <x:v>400</x:v>
      </x:c>
      <x:c r="I86" s="37" t="n">
        <x:v>200</x:v>
      </x:c>
      <x:c r="J86" s="37"/>
      <x:c r="K86" s="36" t="n">
        <x:v>400</x:v>
      </x:c>
      <x:c r="L86" s="37"/>
      <x:c r="M86" s="42" t="n">
        <x:f>IF(G86="","",INDEX('規格與範圍'!$B$14:$B$23,MATCH(G86,'規格與範圍'!$A$14:$A$23,0)))</x:f>
        <x:v>0.994</x:v>
      </x:c>
      <x:c r="N86" s="42" t="n">
        <x:f>IF(OR(H86="",I86="",M86=""),"",H86*I86*M86/100)</x:f>
        <x:v>795.2</x:v>
      </x:c>
      <x:c r="O86" s="36" t="str">
        <x:v>友愛街 3F梁版往上 鋼筋料單 114.08.28.XLS｜工作表 02｜原列 17｜左欄</x:v>
      </x:c>
    </x:row>
    <x:row r="87" ht="15" hidden="0" customHeight="1">
      <x:c r="A87" s="40" t="str">
        <x:v>02</x:v>
      </x:c>
      <x:c r="B87" s="40" t="str">
        <x:v>3F</x:v>
      </x:c>
      <x:c r="C87" s="40" t="str">
        <x:v>柱牆</x:v>
      </x:c>
      <x:c r="D87" s="40" t="str">
        <x:v>牆 主 筋</x:v>
      </x:c>
      <x:c r="E87" s="41" t="n">
        <x:v>19</x:v>
      </x:c>
      <x:c r="F87" s="40" t="str">
        <x:v>左欄</x:v>
      </x:c>
      <x:c r="G87" s="38" t="n">
        <x:v>3</x:v>
      </x:c>
      <x:c r="H87" s="37" t="n">
        <x:v>400</x:v>
      </x:c>
      <x:c r="I87" s="37" t="n">
        <x:v>250</x:v>
      </x:c>
      <x:c r="J87" s="37"/>
      <x:c r="K87" s="36" t="n">
        <x:v>400</x:v>
      </x:c>
      <x:c r="L87" s="37"/>
      <x:c r="M87" s="42" t="n">
        <x:f>IF(G87="","",INDEX('規格與範圍'!$B$14:$B$23,MATCH(G87,'規格與範圍'!$A$14:$A$23,0)))</x:f>
        <x:v>0.559</x:v>
      </x:c>
      <x:c r="N87" s="42" t="n">
        <x:f>IF(OR(H87="",I87="",M87=""),"",H87*I87*M87/100)</x:f>
        <x:v>559.0000000000001</x:v>
      </x:c>
      <x:c r="O87" s="36" t="str">
        <x:v>友愛街 3F梁版往上 鋼筋料單 114.08.28.XLS｜工作表 02｜原列 19｜左欄</x:v>
      </x:c>
    </x:row>
    <x:row r="88" ht="15" hidden="0" customHeight="1">
      <x:c r="A88" s="40" t="str">
        <x:v>02</x:v>
      </x:c>
      <x:c r="B88" s="40" t="str">
        <x:v>3F</x:v>
      </x:c>
      <x:c r="C88" s="40" t="str">
        <x:v>柱牆</x:v>
      </x:c>
      <x:c r="D88" s="40" t="str">
        <x:v>牆 主 筋</x:v>
      </x:c>
      <x:c r="E88" s="41" t="n">
        <x:v>20</x:v>
      </x:c>
      <x:c r="F88" s="40" t="str">
        <x:v>左欄</x:v>
      </x:c>
      <x:c r="G88" s="38" t="n">
        <x:v>3</x:v>
      </x:c>
      <x:c r="H88" s="37" t="n">
        <x:v>335</x:v>
      </x:c>
      <x:c r="I88" s="37" t="n">
        <x:v>30</x:v>
      </x:c>
      <x:c r="J88" s="37"/>
      <x:c r="K88" s="36" t="n">
        <x:v>335</x:v>
      </x:c>
      <x:c r="L88" s="37"/>
      <x:c r="M88" s="42" t="n">
        <x:f>IF(G88="","",INDEX('規格與範圍'!$B$14:$B$23,MATCH(G88,'規格與範圍'!$A$14:$A$23,0)))</x:f>
        <x:v>0.559</x:v>
      </x:c>
      <x:c r="N88" s="42" t="n">
        <x:f>IF(OR(H88="",I88="",M88=""),"",H88*I88*M88/100)</x:f>
        <x:v>56.179500000000004</x:v>
      </x:c>
      <x:c r="O88" s="36" t="str">
        <x:v>友愛街 3F梁版往上 鋼筋料單 114.08.28.XLS｜工作表 02｜原列 20｜左欄</x:v>
      </x:c>
    </x:row>
    <x:row r="89" ht="15" hidden="0" customHeight="1">
      <x:c r="A89" s="40" t="str">
        <x:v>02</x:v>
      </x:c>
      <x:c r="B89" s="40" t="str">
        <x:v>3F</x:v>
      </x:c>
      <x:c r="C89" s="40" t="str">
        <x:v>柱牆</x:v>
      </x:c>
      <x:c r="D89" s="40" t="str">
        <x:v>牆 主 筋</x:v>
      </x:c>
      <x:c r="E89" s="41" t="n">
        <x:v>21</x:v>
      </x:c>
      <x:c r="F89" s="40" t="str">
        <x:v>左欄</x:v>
      </x:c>
      <x:c r="G89" s="38" t="n">
        <x:v>3</x:v>
      </x:c>
      <x:c r="H89" s="37" t="n">
        <x:v>215</x:v>
      </x:c>
      <x:c r="I89" s="37" t="n">
        <x:v>50</x:v>
      </x:c>
      <x:c r="J89" s="37"/>
      <x:c r="K89" s="36" t="n">
        <x:v>215</x:v>
      </x:c>
      <x:c r="L89" s="37"/>
      <x:c r="M89" s="42" t="n">
        <x:f>IF(G89="","",INDEX('規格與範圍'!$B$14:$B$23,MATCH(G89,'規格與範圍'!$A$14:$A$23,0)))</x:f>
        <x:v>0.559</x:v>
      </x:c>
      <x:c r="N89" s="42" t="n">
        <x:f>IF(OR(H89="",I89="",M89=""),"",H89*I89*M89/100)</x:f>
        <x:v>60.09250000000001</x:v>
      </x:c>
      <x:c r="O89" s="36" t="str">
        <x:v>友愛街 3F梁版往上 鋼筋料單 114.08.28.XLS｜工作表 02｜原列 21｜左欄</x:v>
      </x:c>
    </x:row>
    <x:row r="90" ht="15" hidden="0" customHeight="1">
      <x:c r="A90" s="40" t="str">
        <x:v>02</x:v>
      </x:c>
      <x:c r="B90" s="40" t="str">
        <x:v>3F</x:v>
      </x:c>
      <x:c r="C90" s="40" t="str">
        <x:v>柱牆</x:v>
      </x:c>
      <x:c r="D90" s="40" t="str">
        <x:v>牆 主 筋</x:v>
      </x:c>
      <x:c r="E90" s="41" t="n">
        <x:v>22</x:v>
      </x:c>
      <x:c r="F90" s="40" t="str">
        <x:v>左欄</x:v>
      </x:c>
      <x:c r="G90" s="38" t="n">
        <x:v>3</x:v>
      </x:c>
      <x:c r="H90" s="37" t="n">
        <x:v>135</x:v>
      </x:c>
      <x:c r="I90" s="37" t="n">
        <x:v>220</x:v>
      </x:c>
      <x:c r="J90" s="37"/>
      <x:c r="K90" s="36" t="n">
        <x:v>135</x:v>
      </x:c>
      <x:c r="L90" s="37"/>
      <x:c r="M90" s="42" t="n">
        <x:f>IF(G90="","",INDEX('規格與範圍'!$B$14:$B$23,MATCH(G90,'規格與範圍'!$A$14:$A$23,0)))</x:f>
        <x:v>0.559</x:v>
      </x:c>
      <x:c r="N90" s="42" t="n">
        <x:f>IF(OR(H90="",I90="",M90=""),"",H90*I90*M90/100)</x:f>
        <x:v>166.02300000000002</x:v>
      </x:c>
      <x:c r="O90" s="36" t="str">
        <x:v>友愛街 3F梁版往上 鋼筋料單 114.08.28.XLS｜工作表 02｜原列 22｜左欄</x:v>
      </x:c>
    </x:row>
    <x:row r="91" ht="15" hidden="0" customHeight="1">
      <x:c r="A91" s="40" t="str">
        <x:v>02</x:v>
      </x:c>
      <x:c r="B91" s="40" t="str">
        <x:v>3F</x:v>
      </x:c>
      <x:c r="C91" s="40" t="str">
        <x:v>柱牆</x:v>
      </x:c>
      <x:c r="D91" s="40" t="str">
        <x:v>牆 主 筋</x:v>
      </x:c>
      <x:c r="E91" s="41" t="n">
        <x:v>23</x:v>
      </x:c>
      <x:c r="F91" s="40" t="str">
        <x:v>左欄</x:v>
      </x:c>
      <x:c r="G91" s="38" t="n">
        <x:v>3</x:v>
      </x:c>
      <x:c r="H91" s="37" t="n">
        <x:v>115</x:v>
      </x:c>
      <x:c r="I91" s="37" t="n">
        <x:v>130</x:v>
      </x:c>
      <x:c r="J91" s="37"/>
      <x:c r="K91" s="36" t="n">
        <x:v>115</x:v>
      </x:c>
      <x:c r="L91" s="37"/>
      <x:c r="M91" s="42" t="n">
        <x:f>IF(G91="","",INDEX('規格與範圍'!$B$14:$B$23,MATCH(G91,'規格與範圍'!$A$14:$A$23,0)))</x:f>
        <x:v>0.559</x:v>
      </x:c>
      <x:c r="N91" s="42" t="n">
        <x:f>IF(OR(H91="",I91="",M91=""),"",H91*I91*M91/100)</x:f>
        <x:v>83.57050000000001</x:v>
      </x:c>
      <x:c r="O91" s="36" t="str">
        <x:v>友愛街 3F梁版往上 鋼筋料單 114.08.28.XLS｜工作表 02｜原列 23｜左欄</x:v>
      </x:c>
    </x:row>
    <x:row r="92" ht="15" hidden="0" customHeight="1">
      <x:c r="A92" s="40" t="str">
        <x:v>02</x:v>
      </x:c>
      <x:c r="B92" s="40" t="str">
        <x:v>3F</x:v>
      </x:c>
      <x:c r="C92" s="40" t="str">
        <x:v>柱牆</x:v>
      </x:c>
      <x:c r="D92" s="40" t="str">
        <x:v>牆 主 筋</x:v>
      </x:c>
      <x:c r="E92" s="41" t="n">
        <x:v>24</x:v>
      </x:c>
      <x:c r="F92" s="40" t="str">
        <x:v>左欄</x:v>
      </x:c>
      <x:c r="G92" s="38" t="n">
        <x:v>3</x:v>
      </x:c>
      <x:c r="H92" s="37" t="n">
        <x:v>95</x:v>
      </x:c>
      <x:c r="I92" s="37" t="n">
        <x:v>50</x:v>
      </x:c>
      <x:c r="J92" s="37"/>
      <x:c r="K92" s="36" t="n">
        <x:v>95</x:v>
      </x:c>
      <x:c r="L92" s="37"/>
      <x:c r="M92" s="42" t="n">
        <x:f>IF(G92="","",INDEX('規格與範圍'!$B$14:$B$23,MATCH(G92,'規格與範圍'!$A$14:$A$23,0)))</x:f>
        <x:v>0.559</x:v>
      </x:c>
      <x:c r="N92" s="42" t="n">
        <x:f>IF(OR(H92="",I92="",M92=""),"",H92*I92*M92/100)</x:f>
        <x:v>26.552500000000006</x:v>
      </x:c>
      <x:c r="O92" s="36" t="str">
        <x:v>友愛街 3F梁版往上 鋼筋料單 114.08.28.XLS｜工作表 02｜原列 24｜左欄</x:v>
      </x:c>
    </x:row>
    <x:row r="93" ht="15" hidden="0" customHeight="1">
      <x:c r="A93" s="40" t="str">
        <x:v>02</x:v>
      </x:c>
      <x:c r="B93" s="40" t="str">
        <x:v>3F</x:v>
      </x:c>
      <x:c r="C93" s="40" t="str">
        <x:v>柱牆</x:v>
      </x:c>
      <x:c r="D93" s="40" t="str">
        <x:v>擴 柱</x:v>
      </x:c>
      <x:c r="E93" s="41" t="n">
        <x:v>27</x:v>
      </x:c>
      <x:c r="F93" s="40" t="str">
        <x:v>左欄</x:v>
      </x:c>
      <x:c r="G93" s="38" t="n">
        <x:v>4</x:v>
      </x:c>
      <x:c r="H93" s="37" t="n">
        <x:v>100</x:v>
      </x:c>
      <x:c r="I93" s="37" t="n">
        <x:v>14</x:v>
      </x:c>
      <x:c r="J93" s="37" t="n">
        <x:v>20</x:v>
      </x:c>
      <x:c r="K93" s="36" t="n">
        <x:v>60</x:v>
      </x:c>
      <x:c r="L93" s="37" t="n">
        <x:v>20</x:v>
      </x:c>
      <x:c r="M93" s="42" t="n">
        <x:f>IF(G93="","",INDEX('規格與範圍'!$B$14:$B$23,MATCH(G93,'規格與範圍'!$A$14:$A$23,0)))</x:f>
        <x:v>0.994</x:v>
      </x:c>
      <x:c r="N93" s="42" t="n">
        <x:f>IF(OR(H93="",I93="",M93=""),"",H93*I93*M93/100)</x:f>
        <x:v>13.915999999999999</x:v>
      </x:c>
      <x:c r="O93" s="36" t="str">
        <x:v>友愛街 3F梁版往上 鋼筋料單 114.08.28.XLS｜工作表 02｜原列 27｜左欄</x:v>
      </x:c>
    </x:row>
    <x:row r="94" ht="15" hidden="0" customHeight="1">
      <x:c r="A94" s="40" t="str">
        <x:v>02</x:v>
      </x:c>
      <x:c r="B94" s="40" t="str">
        <x:v>3F</x:v>
      </x:c>
      <x:c r="C94" s="40" t="str">
        <x:v>柱牆</x:v>
      </x:c>
      <x:c r="D94" s="40" t="str">
        <x:v>擴 柱</x:v>
      </x:c>
      <x:c r="E94" s="41" t="n">
        <x:v>28</x:v>
      </x:c>
      <x:c r="F94" s="40" t="str">
        <x:v>左欄</x:v>
      </x:c>
      <x:c r="G94" s="38" t="n">
        <x:v>4</x:v>
      </x:c>
      <x:c r="H94" s="37" t="n">
        <x:v>80</x:v>
      </x:c>
      <x:c r="I94" s="37" t="n">
        <x:v>56</x:v>
      </x:c>
      <x:c r="J94" s="37" t="n">
        <x:v>20</x:v>
      </x:c>
      <x:c r="K94" s="36" t="n">
        <x:v>40</x:v>
      </x:c>
      <x:c r="L94" s="37" t="n">
        <x:v>20</x:v>
      </x:c>
      <x:c r="M94" s="42" t="n">
        <x:f>IF(G94="","",INDEX('規格與範圍'!$B$14:$B$23,MATCH(G94,'規格與範圍'!$A$14:$A$23,0)))</x:f>
        <x:v>0.994</x:v>
      </x:c>
      <x:c r="N94" s="42" t="n">
        <x:f>IF(OR(H94="",I94="",M94=""),"",H94*I94*M94/100)</x:f>
        <x:v>44.5312</x:v>
      </x:c>
      <x:c r="O94" s="36" t="str">
        <x:v>友愛街 3F梁版往上 鋼筋料單 114.08.28.XLS｜工作表 02｜原列 28｜左欄</x:v>
      </x:c>
    </x:row>
    <x:row r="95" ht="15" hidden="0" customHeight="1">
      <x:c r="A95" s="40" t="str">
        <x:v>02</x:v>
      </x:c>
      <x:c r="B95" s="40" t="str">
        <x:v>3F</x:v>
      </x:c>
      <x:c r="C95" s="40" t="str">
        <x:v>柱牆</x:v>
      </x:c>
      <x:c r="D95" s="40" t="str">
        <x:v>擴 柱</x:v>
      </x:c>
      <x:c r="E95" s="41" t="n">
        <x:v>30</x:v>
      </x:c>
      <x:c r="F95" s="40" t="str">
        <x:v>左欄</x:v>
      </x:c>
      <x:c r="G95" s="38" t="n">
        <x:v>4</x:v>
      </x:c>
      <x:c r="H95" s="37" t="n">
        <x:v>30</x:v>
      </x:c>
      <x:c r="I95" s="37" t="n">
        <x:v>54</x:v>
      </x:c>
      <x:c r="J95" s="37"/>
      <x:c r="K95" s="36" t="n">
        <x:v>30</x:v>
      </x:c>
      <x:c r="L95" s="37"/>
      <x:c r="M95" s="42" t="n">
        <x:f>IF(G95="","",INDEX('規格與範圍'!$B$14:$B$23,MATCH(G95,'規格與範圍'!$A$14:$A$23,0)))</x:f>
        <x:v>0.994</x:v>
      </x:c>
      <x:c r="N95" s="42" t="n">
        <x:f>IF(OR(H95="",I95="",M95=""),"",H95*I95*M95/100)</x:f>
        <x:v>16.1028</x:v>
      </x:c>
      <x:c r="O95" s="36" t="str">
        <x:v>友愛街 3F梁版往上 鋼筋料單 114.08.28.XLS｜工作表 02｜原列 30｜左欄</x:v>
      </x:c>
    </x:row>
    <x:row r="96" ht="15" hidden="0" customHeight="1">
      <x:c r="A96" s="40" t="str">
        <x:v>02</x:v>
      </x:c>
      <x:c r="B96" s="40" t="str">
        <x:v>3F</x:v>
      </x:c>
      <x:c r="C96" s="40" t="str">
        <x:v>柱牆</x:v>
      </x:c>
      <x:c r="D96" s="40" t="str">
        <x:v>開 口 補 強</x:v>
      </x:c>
      <x:c r="E96" s="41" t="n">
        <x:v>33</x:v>
      </x:c>
      <x:c r="F96" s="40" t="str">
        <x:v>左欄</x:v>
      </x:c>
      <x:c r="G96" s="38" t="n">
        <x:v>5</x:v>
      </x:c>
      <x:c r="H96" s="37" t="n">
        <x:v>400</x:v>
      </x:c>
      <x:c r="I96" s="37" t="n">
        <x:v>16</x:v>
      </x:c>
      <x:c r="J96" s="37"/>
      <x:c r="K96" s="36" t="n">
        <x:v>400</x:v>
      </x:c>
      <x:c r="L96" s="37"/>
      <x:c r="M96" s="42" t="n">
        <x:f>IF(G96="","",INDEX('規格與範圍'!$B$14:$B$23,MATCH(G96,'規格與範圍'!$A$14:$A$23,0)))</x:f>
        <x:v>1.56</x:v>
      </x:c>
      <x:c r="N96" s="42" t="n">
        <x:f>IF(OR(H96="",I96="",M96=""),"",H96*I96*M96/100)</x:f>
        <x:v>99.84</x:v>
      </x:c>
      <x:c r="O96" s="36" t="str">
        <x:v>友愛街 3F梁版往上 鋼筋料單 114.08.28.XLS｜工作表 02｜原列 33｜左欄</x:v>
      </x:c>
    </x:row>
    <x:row r="97" ht="15" hidden="0" customHeight="1">
      <x:c r="A97" s="40" t="str">
        <x:v>02</x:v>
      </x:c>
      <x:c r="B97" s="40" t="str">
        <x:v>3F</x:v>
      </x:c>
      <x:c r="C97" s="40" t="str">
        <x:v>柱牆</x:v>
      </x:c>
      <x:c r="D97" s="40" t="str">
        <x:v>開 口 補 強</x:v>
      </x:c>
      <x:c r="E97" s="41" t="n">
        <x:v>34</x:v>
      </x:c>
      <x:c r="F97" s="40" t="str">
        <x:v>左欄</x:v>
      </x:c>
      <x:c r="G97" s="38" t="n">
        <x:v>5</x:v>
      </x:c>
      <x:c r="H97" s="37" t="n">
        <x:v>120</x:v>
      </x:c>
      <x:c r="I97" s="37" t="n">
        <x:v>4</x:v>
      </x:c>
      <x:c r="J97" s="37"/>
      <x:c r="K97" s="36" t="n">
        <x:v>120</x:v>
      </x:c>
      <x:c r="L97" s="37"/>
      <x:c r="M97" s="42" t="n">
        <x:f>IF(G97="","",INDEX('規格與範圍'!$B$14:$B$23,MATCH(G97,'規格與範圍'!$A$14:$A$23,0)))</x:f>
        <x:v>1.56</x:v>
      </x:c>
      <x:c r="N97" s="42" t="n">
        <x:f>IF(OR(H97="",I97="",M97=""),"",H97*I97*M97/100)</x:f>
        <x:v>7.488</x:v>
      </x:c>
      <x:c r="O97" s="36" t="str">
        <x:v>友愛街 3F梁版往上 鋼筋料單 114.08.28.XLS｜工作表 02｜原列 34｜左欄</x:v>
      </x:c>
    </x:row>
    <x:row r="98" ht="15" hidden="0" customHeight="1">
      <x:c r="A98" s="40" t="str">
        <x:v>02</x:v>
      </x:c>
      <x:c r="B98" s="40" t="str">
        <x:v>3F</x:v>
      </x:c>
      <x:c r="C98" s="40" t="str">
        <x:v>柱牆</x:v>
      </x:c>
      <x:c r="D98" s="40" t="str">
        <x:v>開 口 補 強</x:v>
      </x:c>
      <x:c r="E98" s="41" t="n">
        <x:v>36</x:v>
      </x:c>
      <x:c r="F98" s="40" t="str">
        <x:v>左欄</x:v>
      </x:c>
      <x:c r="G98" s="38" t="n">
        <x:v>4</x:v>
      </x:c>
      <x:c r="H98" s="37" t="n">
        <x:v>400</x:v>
      </x:c>
      <x:c r="I98" s="37" t="n">
        <x:v>224</x:v>
      </x:c>
      <x:c r="J98" s="37"/>
      <x:c r="K98" s="36" t="n">
        <x:v>400</x:v>
      </x:c>
      <x:c r="L98" s="37"/>
      <x:c r="M98" s="42" t="n">
        <x:f>IF(G98="","",INDEX('規格與範圍'!$B$14:$B$23,MATCH(G98,'規格與範圍'!$A$14:$A$23,0)))</x:f>
        <x:v>0.994</x:v>
      </x:c>
      <x:c r="N98" s="42" t="n">
        <x:f>IF(OR(H98="",I98="",M98=""),"",H98*I98*M98/100)</x:f>
        <x:v>890.6239999999999</x:v>
      </x:c>
      <x:c r="O98" s="36" t="str">
        <x:v>友愛街 3F梁版往上 鋼筋料單 114.08.28.XLS｜工作表 02｜原列 36｜左欄</x:v>
      </x:c>
    </x:row>
    <x:row r="99" ht="15" hidden="0" customHeight="1">
      <x:c r="A99" s="40" t="str">
        <x:v>02</x:v>
      </x:c>
      <x:c r="B99" s="40" t="str">
        <x:v>3F</x:v>
      </x:c>
      <x:c r="C99" s="40" t="str">
        <x:v>柱牆</x:v>
      </x:c>
      <x:c r="D99" s="40" t="str">
        <x:v>開 口 補 強</x:v>
      </x:c>
      <x:c r="E99" s="41" t="n">
        <x:v>37</x:v>
      </x:c>
      <x:c r="F99" s="40" t="str">
        <x:v>左欄</x:v>
      </x:c>
      <x:c r="G99" s="38" t="n">
        <x:v>4</x:v>
      </x:c>
      <x:c r="H99" s="37" t="n">
        <x:v>120</x:v>
      </x:c>
      <x:c r="I99" s="37" t="n">
        <x:v>128</x:v>
      </x:c>
      <x:c r="J99" s="37"/>
      <x:c r="K99" s="36" t="n">
        <x:v>120</x:v>
      </x:c>
      <x:c r="L99" s="37"/>
      <x:c r="M99" s="42" t="n">
        <x:f>IF(G99="","",INDEX('規格與範圍'!$B$14:$B$23,MATCH(G99,'規格與範圍'!$A$14:$A$23,0)))</x:f>
        <x:v>0.994</x:v>
      </x:c>
      <x:c r="N99" s="42" t="n">
        <x:f>IF(OR(H99="",I99="",M99=""),"",H99*I99*M99/100)</x:f>
        <x:v>152.6784</x:v>
      </x:c>
      <x:c r="O99" s="36" t="str">
        <x:v>友愛街 3F梁版往上 鋼筋料單 114.08.28.XLS｜工作表 02｜原列 37｜左欄</x:v>
      </x:c>
    </x:row>
    <x:row r="100" ht="15" hidden="0" customHeight="1">
      <x:c r="A100" s="40" t="str">
        <x:v>02</x:v>
      </x:c>
      <x:c r="B100" s="40" t="str">
        <x:v>3F</x:v>
      </x:c>
      <x:c r="C100" s="40" t="str">
        <x:v>柱牆</x:v>
      </x:c>
      <x:c r="D100" s="40" t="str">
        <x:v>牆 間 隔 筋</x:v>
      </x:c>
      <x:c r="E100" s="41" t="n">
        <x:v>40</x:v>
      </x:c>
      <x:c r="F100" s="40" t="str">
        <x:v>左欄</x:v>
      </x:c>
      <x:c r="G100" s="38" t="n">
        <x:v>3</x:v>
      </x:c>
      <x:c r="H100" s="37" t="n">
        <x:v>55</x:v>
      </x:c>
      <x:c r="I100" s="37" t="n">
        <x:v>120</x:v>
      </x:c>
      <x:c r="J100" s="37" t="n">
        <x:v>7</x:v>
      </x:c>
      <x:c r="K100" s="36" t="n">
        <x:v>1830</x:v>
      </x:c>
      <x:c r="L100" s="37"/>
      <x:c r="M100" s="42" t="n">
        <x:f>IF(G100="","",INDEX('規格與範圍'!$B$14:$B$23,MATCH(G100,'規格與範圍'!$A$14:$A$23,0)))</x:f>
        <x:v>0.559</x:v>
      </x:c>
      <x:c r="N100" s="42" t="n">
        <x:f>IF(OR(H100="",I100="",M100=""),"",H100*I100*M100/100)</x:f>
        <x:v>36.894000000000005</x:v>
      </x:c>
      <x:c r="O100" s="36" t="str">
        <x:v>友愛街 3F梁版往上 鋼筋料單 114.08.28.XLS｜工作表 02｜原列 40｜左欄</x:v>
      </x:c>
    </x:row>
    <x:row r="101" ht="15" hidden="0" customHeight="1">
      <x:c r="A101" s="40" t="str">
        <x:v>02</x:v>
      </x:c>
      <x:c r="B101" s="40" t="str">
        <x:v>3F</x:v>
      </x:c>
      <x:c r="C101" s="40" t="str">
        <x:v>柱牆</x:v>
      </x:c>
      <x:c r="D101" s="40" t="str">
        <x:v>牆 副 筋</x:v>
      </x:c>
      <x:c r="E101" s="41" t="n">
        <x:v>5</x:v>
      </x:c>
      <x:c r="F101" s="40" t="str">
        <x:v>右欄</x:v>
      </x:c>
      <x:c r="G101" s="38" t="n">
        <x:v>4</x:v>
      </x:c>
      <x:c r="H101" s="37" t="n">
        <x:v>180</x:v>
      </x:c>
      <x:c r="I101" s="37" t="n">
        <x:v>38</x:v>
      </x:c>
      <x:c r="J101" s="37"/>
      <x:c r="K101" s="36" t="n">
        <x:v>160</x:v>
      </x:c>
      <x:c r="L101" s="37" t="n">
        <x:v>20</x:v>
      </x:c>
      <x:c r="M101" s="42" t="n">
        <x:f>IF(G101="","",INDEX('規格與範圍'!$B$14:$B$23,MATCH(G101,'規格與範圍'!$A$14:$A$23,0)))</x:f>
        <x:v>0.994</x:v>
      </x:c>
      <x:c r="N101" s="42" t="n">
        <x:f>IF(OR(H101="",I101="",M101=""),"",H101*I101*M101/100)</x:f>
        <x:v>67.9896</x:v>
      </x:c>
      <x:c r="O101" s="36" t="str">
        <x:v>友愛街 3F梁版往上 鋼筋料單 114.08.28.XLS｜工作表 02｜原列 5｜右欄</x:v>
      </x:c>
    </x:row>
    <x:row r="102" ht="15" hidden="0" customHeight="1">
      <x:c r="A102" s="40" t="str">
        <x:v>02</x:v>
      </x:c>
      <x:c r="B102" s="40" t="str">
        <x:v>3F</x:v>
      </x:c>
      <x:c r="C102" s="40" t="str">
        <x:v>柱牆</x:v>
      </x:c>
      <x:c r="D102" s="40" t="str">
        <x:v>牆 副 筋</x:v>
      </x:c>
      <x:c r="E102" s="41" t="n">
        <x:v>6</x:v>
      </x:c>
      <x:c r="F102" s="40" t="str">
        <x:v>右欄</x:v>
      </x:c>
      <x:c r="G102" s="38" t="n">
        <x:v>4</x:v>
      </x:c>
      <x:c r="H102" s="37" t="n">
        <x:v>140</x:v>
      </x:c>
      <x:c r="I102" s="37" t="n">
        <x:v>38</x:v>
      </x:c>
      <x:c r="J102" s="37"/>
      <x:c r="K102" s="36" t="n">
        <x:v>100</x:v>
      </x:c>
      <x:c r="L102" s="37" t="n">
        <x:v>40</x:v>
      </x:c>
      <x:c r="M102" s="42" t="n">
        <x:f>IF(G102="","",INDEX('規格與範圍'!$B$14:$B$23,MATCH(G102,'規格與範圍'!$A$14:$A$23,0)))</x:f>
        <x:v>0.994</x:v>
      </x:c>
      <x:c r="N102" s="42" t="n">
        <x:f>IF(OR(H102="",I102="",M102=""),"",H102*I102*M102/100)</x:f>
        <x:v>52.8808</x:v>
      </x:c>
      <x:c r="O102" s="36" t="str">
        <x:v>友愛街 3F梁版往上 鋼筋料單 114.08.28.XLS｜工作表 02｜原列 6｜右欄</x:v>
      </x:c>
    </x:row>
    <x:row r="103" ht="15" hidden="0" customHeight="1">
      <x:c r="A103" s="40" t="str">
        <x:v>02</x:v>
      </x:c>
      <x:c r="B103" s="40" t="str">
        <x:v>3F</x:v>
      </x:c>
      <x:c r="C103" s="40" t="str">
        <x:v>柱牆</x:v>
      </x:c>
      <x:c r="D103" s="40" t="str">
        <x:v>牆 副 筋</x:v>
      </x:c>
      <x:c r="E103" s="41" t="n">
        <x:v>7</x:v>
      </x:c>
      <x:c r="F103" s="40" t="str">
        <x:v>右欄</x:v>
      </x:c>
      <x:c r="G103" s="38" t="n">
        <x:v>4</x:v>
      </x:c>
      <x:c r="H103" s="37" t="n">
        <x:v>385</x:v>
      </x:c>
      <x:c r="I103" s="37" t="n">
        <x:v>24</x:v>
      </x:c>
      <x:c r="J103" s="37"/>
      <x:c r="K103" s="36" t="n">
        <x:v>385</x:v>
      </x:c>
      <x:c r="L103" s="37"/>
      <x:c r="M103" s="42" t="n">
        <x:f>IF(G103="","",INDEX('規格與範圍'!$B$14:$B$23,MATCH(G103,'規格與範圍'!$A$14:$A$23,0)))</x:f>
        <x:v>0.994</x:v>
      </x:c>
      <x:c r="N103" s="42" t="n">
        <x:f>IF(OR(H103="",I103="",M103=""),"",H103*I103*M103/100)</x:f>
        <x:v>91.84559999999999</x:v>
      </x:c>
      <x:c r="O103" s="36" t="str">
        <x:v>友愛街 3F梁版往上 鋼筋料單 114.08.28.XLS｜工作表 02｜原列 7｜右欄</x:v>
      </x:c>
    </x:row>
    <x:row r="104" ht="15" hidden="0" customHeight="1">
      <x:c r="A104" s="40" t="str">
        <x:v>02</x:v>
      </x:c>
      <x:c r="B104" s="40" t="str">
        <x:v>3F</x:v>
      </x:c>
      <x:c r="C104" s="40" t="str">
        <x:v>柱牆</x:v>
      </x:c>
      <x:c r="D104" s="40" t="str">
        <x:v>牆 副 筋</x:v>
      </x:c>
      <x:c r="E104" s="41" t="n">
        <x:v>8</x:v>
      </x:c>
      <x:c r="F104" s="40" t="str">
        <x:v>右欄</x:v>
      </x:c>
      <x:c r="G104" s="38" t="n">
        <x:v>4</x:v>
      </x:c>
      <x:c r="H104" s="37" t="n">
        <x:v>350</x:v>
      </x:c>
      <x:c r="I104" s="37" t="n">
        <x:v>42</x:v>
      </x:c>
      <x:c r="J104" s="37"/>
      <x:c r="K104" s="36" t="n">
        <x:v>350</x:v>
      </x:c>
      <x:c r="L104" s="37"/>
      <x:c r="M104" s="42" t="n">
        <x:f>IF(G104="","",INDEX('規格與範圍'!$B$14:$B$23,MATCH(G104,'規格與範圍'!$A$14:$A$23,0)))</x:f>
        <x:v>0.994</x:v>
      </x:c>
      <x:c r="N104" s="42" t="n">
        <x:f>IF(OR(H104="",I104="",M104=""),"",H104*I104*M104/100)</x:f>
        <x:v>146.118</x:v>
      </x:c>
      <x:c r="O104" s="36" t="str">
        <x:v>友愛街 3F梁版往上 鋼筋料單 114.08.28.XLS｜工作表 02｜原列 8｜右欄</x:v>
      </x:c>
    </x:row>
    <x:row r="105" ht="15" hidden="0" customHeight="1">
      <x:c r="A105" s="40" t="str">
        <x:v>02</x:v>
      </x:c>
      <x:c r="B105" s="40" t="str">
        <x:v>3F</x:v>
      </x:c>
      <x:c r="C105" s="40" t="str">
        <x:v>柱牆</x:v>
      </x:c>
      <x:c r="D105" s="40" t="str">
        <x:v>牆 副 筋</x:v>
      </x:c>
      <x:c r="E105" s="41" t="n">
        <x:v>9</x:v>
      </x:c>
      <x:c r="F105" s="40" t="str">
        <x:v>右欄</x:v>
      </x:c>
      <x:c r="G105" s="38" t="n">
        <x:v>4</x:v>
      </x:c>
      <x:c r="H105" s="37" t="n">
        <x:v>260</x:v>
      </x:c>
      <x:c r="I105" s="37" t="n">
        <x:v>38</x:v>
      </x:c>
      <x:c r="J105" s="37"/>
      <x:c r="K105" s="36" t="n">
        <x:v>260</x:v>
      </x:c>
      <x:c r="L105" s="37"/>
      <x:c r="M105" s="42" t="n">
        <x:f>IF(G105="","",INDEX('規格與範圍'!$B$14:$B$23,MATCH(G105,'規格與範圍'!$A$14:$A$23,0)))</x:f>
        <x:v>0.994</x:v>
      </x:c>
      <x:c r="N105" s="42" t="n">
        <x:f>IF(OR(H105="",I105="",M105=""),"",H105*I105*M105/100)</x:f>
        <x:v>98.2072</x:v>
      </x:c>
      <x:c r="O105" s="36" t="str">
        <x:v>友愛街 3F梁版往上 鋼筋料單 114.08.28.XLS｜工作表 02｜原列 9｜右欄</x:v>
      </x:c>
    </x:row>
    <x:row r="106" ht="15" hidden="0" customHeight="1">
      <x:c r="A106" s="40" t="str">
        <x:v>02</x:v>
      </x:c>
      <x:c r="B106" s="40" t="str">
        <x:v>3F</x:v>
      </x:c>
      <x:c r="C106" s="40" t="str">
        <x:v>柱牆</x:v>
      </x:c>
      <x:c r="D106" s="40" t="str">
        <x:v>牆 副 筋</x:v>
      </x:c>
      <x:c r="E106" s="41" t="n">
        <x:v>10</x:v>
      </x:c>
      <x:c r="F106" s="40" t="str">
        <x:v>右欄</x:v>
      </x:c>
      <x:c r="G106" s="38" t="n">
        <x:v>4</x:v>
      </x:c>
      <x:c r="H106" s="37" t="n">
        <x:v>240</x:v>
      </x:c>
      <x:c r="I106" s="37" t="n">
        <x:v>56</x:v>
      </x:c>
      <x:c r="J106" s="37"/>
      <x:c r="K106" s="36" t="n">
        <x:v>240</x:v>
      </x:c>
      <x:c r="L106" s="37"/>
      <x:c r="M106" s="42" t="n">
        <x:f>IF(G106="","",INDEX('規格與範圍'!$B$14:$B$23,MATCH(G106,'規格與範圍'!$A$14:$A$23,0)))</x:f>
        <x:v>0.994</x:v>
      </x:c>
      <x:c r="N106" s="42" t="n">
        <x:f>IF(OR(H106="",I106="",M106=""),"",H106*I106*M106/100)</x:f>
        <x:v>133.5936</x:v>
      </x:c>
      <x:c r="O106" s="36" t="str">
        <x:v>友愛街 3F梁版往上 鋼筋料單 114.08.28.XLS｜工作表 02｜原列 10｜右欄</x:v>
      </x:c>
    </x:row>
    <x:row r="107" ht="15" hidden="0" customHeight="1">
      <x:c r="A107" s="40" t="str">
        <x:v>02</x:v>
      </x:c>
      <x:c r="B107" s="40" t="str">
        <x:v>3F</x:v>
      </x:c>
      <x:c r="C107" s="40" t="str">
        <x:v>柱牆</x:v>
      </x:c>
      <x:c r="D107" s="40" t="str">
        <x:v>牆 副 筋</x:v>
      </x:c>
      <x:c r="E107" s="41" t="n">
        <x:v>12</x:v>
      </x:c>
      <x:c r="F107" s="40" t="str">
        <x:v>右欄</x:v>
      </x:c>
      <x:c r="G107" s="38" t="n">
        <x:v>3</x:v>
      </x:c>
      <x:c r="H107" s="37" t="n">
        <x:v>350</x:v>
      </x:c>
      <x:c r="I107" s="37" t="n">
        <x:v>18</x:v>
      </x:c>
      <x:c r="J107" s="37"/>
      <x:c r="K107" s="36" t="n">
        <x:v>335</x:v>
      </x:c>
      <x:c r="L107" s="37" t="n">
        <x:v>15</x:v>
      </x:c>
      <x:c r="M107" s="42" t="n">
        <x:f>IF(G107="","",INDEX('規格與範圍'!$B$14:$B$23,MATCH(G107,'規格與範圍'!$A$14:$A$23,0)))</x:f>
        <x:v>0.559</x:v>
      </x:c>
      <x:c r="N107" s="42" t="n">
        <x:f>IF(OR(H107="",I107="",M107=""),"",H107*I107*M107/100)</x:f>
        <x:v>35.217000000000006</x:v>
      </x:c>
      <x:c r="O107" s="36" t="str">
        <x:v>友愛街 3F梁版往上 鋼筋料單 114.08.28.XLS｜工作表 02｜原列 12｜右欄</x:v>
      </x:c>
    </x:row>
    <x:row r="108" ht="15" hidden="0" customHeight="1">
      <x:c r="A108" s="40" t="str">
        <x:v>02</x:v>
      </x:c>
      <x:c r="B108" s="40" t="str">
        <x:v>3F</x:v>
      </x:c>
      <x:c r="C108" s="40" t="str">
        <x:v>柱牆</x:v>
      </x:c>
      <x:c r="D108" s="40" t="str">
        <x:v>牆 副 筋</x:v>
      </x:c>
      <x:c r="E108" s="41" t="n">
        <x:v>13</x:v>
      </x:c>
      <x:c r="F108" s="40" t="str">
        <x:v>右欄</x:v>
      </x:c>
      <x:c r="G108" s="38" t="n">
        <x:v>3</x:v>
      </x:c>
      <x:c r="H108" s="37" t="n">
        <x:v>250</x:v>
      </x:c>
      <x:c r="I108" s="37" t="n">
        <x:v>20</x:v>
      </x:c>
      <x:c r="J108" s="37"/>
      <x:c r="K108" s="36" t="n">
        <x:v>235</x:v>
      </x:c>
      <x:c r="L108" s="37" t="n">
        <x:v>15</x:v>
      </x:c>
      <x:c r="M108" s="42" t="n">
        <x:f>IF(G108="","",INDEX('規格與範圍'!$B$14:$B$23,MATCH(G108,'規格與範圍'!$A$14:$A$23,0)))</x:f>
        <x:v>0.559</x:v>
      </x:c>
      <x:c r="N108" s="42" t="n">
        <x:f>IF(OR(H108="",I108="",M108=""),"",H108*I108*M108/100)</x:f>
        <x:v>27.950000000000003</x:v>
      </x:c>
      <x:c r="O108" s="36" t="str">
        <x:v>友愛街 3F梁版往上 鋼筋料單 114.08.28.XLS｜工作表 02｜原列 13｜右欄</x:v>
      </x:c>
    </x:row>
    <x:row r="109" ht="15" hidden="0" customHeight="1">
      <x:c r="A109" s="40" t="str">
        <x:v>02</x:v>
      </x:c>
      <x:c r="B109" s="40" t="str">
        <x:v>3F</x:v>
      </x:c>
      <x:c r="C109" s="40" t="str">
        <x:v>柱牆</x:v>
      </x:c>
      <x:c r="D109" s="40" t="str">
        <x:v>牆 副 筋</x:v>
      </x:c>
      <x:c r="E109" s="41" t="n">
        <x:v>14</x:v>
      </x:c>
      <x:c r="F109" s="40" t="str">
        <x:v>右欄</x:v>
      </x:c>
      <x:c r="G109" s="38" t="n">
        <x:v>3</x:v>
      </x:c>
      <x:c r="H109" s="37" t="n">
        <x:v>200</x:v>
      </x:c>
      <x:c r="I109" s="37" t="n">
        <x:v>20</x:v>
      </x:c>
      <x:c r="J109" s="37"/>
      <x:c r="K109" s="36" t="n">
        <x:v>185</x:v>
      </x:c>
      <x:c r="L109" s="37" t="n">
        <x:v>15</x:v>
      </x:c>
      <x:c r="M109" s="42" t="n">
        <x:f>IF(G109="","",INDEX('規格與範圍'!$B$14:$B$23,MATCH(G109,'規格與範圍'!$A$14:$A$23,0)))</x:f>
        <x:v>0.559</x:v>
      </x:c>
      <x:c r="N109" s="42" t="n">
        <x:f>IF(OR(H109="",I109="",M109=""),"",H109*I109*M109/100)</x:f>
        <x:v>22.36</x:v>
      </x:c>
      <x:c r="O109" s="36" t="str">
        <x:v>友愛街 3F梁版往上 鋼筋料單 114.08.28.XLS｜工作表 02｜原列 14｜右欄</x:v>
      </x:c>
    </x:row>
    <x:row r="110" ht="15" hidden="0" customHeight="1">
      <x:c r="A110" s="40" t="str">
        <x:v>02</x:v>
      </x:c>
      <x:c r="B110" s="40" t="str">
        <x:v>3F</x:v>
      </x:c>
      <x:c r="C110" s="40" t="str">
        <x:v>柱牆</x:v>
      </x:c>
      <x:c r="D110" s="40" t="str">
        <x:v>牆 副 筋</x:v>
      </x:c>
      <x:c r="E110" s="41" t="n">
        <x:v>15</x:v>
      </x:c>
      <x:c r="F110" s="40" t="str">
        <x:v>右欄</x:v>
      </x:c>
      <x:c r="G110" s="38" t="n">
        <x:v>3</x:v>
      </x:c>
      <x:c r="H110" s="37" t="n">
        <x:v>160</x:v>
      </x:c>
      <x:c r="I110" s="37" t="n">
        <x:v>38</x:v>
      </x:c>
      <x:c r="J110" s="37"/>
      <x:c r="K110" s="36" t="n">
        <x:v>145</x:v>
      </x:c>
      <x:c r="L110" s="37" t="n">
        <x:v>15</x:v>
      </x:c>
      <x:c r="M110" s="42" t="n">
        <x:f>IF(G110="","",INDEX('規格與範圍'!$B$14:$B$23,MATCH(G110,'規格與範圍'!$A$14:$A$23,0)))</x:f>
        <x:v>0.559</x:v>
      </x:c>
      <x:c r="N110" s="42" t="n">
        <x:f>IF(OR(H110="",I110="",M110=""),"",H110*I110*M110/100)</x:f>
        <x:v>33.9872</x:v>
      </x:c>
      <x:c r="O110" s="36" t="str">
        <x:v>友愛街 3F梁版往上 鋼筋料單 114.08.28.XLS｜工作表 02｜原列 15｜右欄</x:v>
      </x:c>
    </x:row>
    <x:row r="111" ht="15" hidden="0" customHeight="1">
      <x:c r="A111" s="40" t="str">
        <x:v>02</x:v>
      </x:c>
      <x:c r="B111" s="40" t="str">
        <x:v>3F</x:v>
      </x:c>
      <x:c r="C111" s="40" t="str">
        <x:v>柱牆</x:v>
      </x:c>
      <x:c r="D111" s="40" t="str">
        <x:v>牆 副 筋</x:v>
      </x:c>
      <x:c r="E111" s="41" t="n">
        <x:v>16</x:v>
      </x:c>
      <x:c r="F111" s="40" t="str">
        <x:v>右欄</x:v>
      </x:c>
      <x:c r="G111" s="38" t="n">
        <x:v>3</x:v>
      </x:c>
      <x:c r="H111" s="37" t="n">
        <x:v>200</x:v>
      </x:c>
      <x:c r="I111" s="37" t="n">
        <x:v>88</x:v>
      </x:c>
      <x:c r="J111" s="37"/>
      <x:c r="K111" s="36" t="n">
        <x:v>120</x:v>
      </x:c>
      <x:c r="L111" s="37" t="n">
        <x:v>80</x:v>
      </x:c>
      <x:c r="M111" s="42" t="n">
        <x:f>IF(G111="","",INDEX('規格與範圍'!$B$14:$B$23,MATCH(G111,'規格與範圍'!$A$14:$A$23,0)))</x:f>
        <x:v>0.559</x:v>
      </x:c>
      <x:c r="N111" s="42" t="n">
        <x:f>IF(OR(H111="",I111="",M111=""),"",H111*I111*M111/100)</x:f>
        <x:v>98.38400000000001</x:v>
      </x:c>
      <x:c r="O111" s="36" t="str">
        <x:v>友愛街 3F梁版往上 鋼筋料單 114.08.28.XLS｜工作表 02｜原列 16｜右欄</x:v>
      </x:c>
    </x:row>
    <x:row r="112" ht="15" hidden="0" customHeight="1">
      <x:c r="A112" s="40" t="str">
        <x:v>02</x:v>
      </x:c>
      <x:c r="B112" s="40" t="str">
        <x:v>3F</x:v>
      </x:c>
      <x:c r="C112" s="40" t="str">
        <x:v>柱牆</x:v>
      </x:c>
      <x:c r="D112" s="40" t="str">
        <x:v>牆 副 筋</x:v>
      </x:c>
      <x:c r="E112" s="41" t="n">
        <x:v>17</x:v>
      </x:c>
      <x:c r="F112" s="40" t="str">
        <x:v>右欄</x:v>
      </x:c>
      <x:c r="G112" s="38" t="n">
        <x:v>3</x:v>
      </x:c>
      <x:c r="H112" s="37" t="n">
        <x:v>150</x:v>
      </x:c>
      <x:c r="I112" s="37" t="n">
        <x:v>24</x:v>
      </x:c>
      <x:c r="J112" s="37"/>
      <x:c r="K112" s="36" t="n">
        <x:v>120</x:v>
      </x:c>
      <x:c r="L112" s="37" t="n">
        <x:v>30</x:v>
      </x:c>
      <x:c r="M112" s="42" t="n">
        <x:f>IF(G112="","",INDEX('規格與範圍'!$B$14:$B$23,MATCH(G112,'規格與範圍'!$A$14:$A$23,0)))</x:f>
        <x:v>0.559</x:v>
      </x:c>
      <x:c r="N112" s="42" t="n">
        <x:f>IF(OR(H112="",I112="",M112=""),"",H112*I112*M112/100)</x:f>
        <x:v>20.124000000000002</x:v>
      </x:c>
      <x:c r="O112" s="36" t="str">
        <x:v>友愛街 3F梁版往上 鋼筋料單 114.08.28.XLS｜工作表 02｜原列 17｜右欄</x:v>
      </x:c>
    </x:row>
    <x:row r="113" ht="15" hidden="0" customHeight="1">
      <x:c r="A113" s="40" t="str">
        <x:v>02</x:v>
      </x:c>
      <x:c r="B113" s="40" t="str">
        <x:v>3F</x:v>
      </x:c>
      <x:c r="C113" s="40" t="str">
        <x:v>柱牆</x:v>
      </x:c>
      <x:c r="D113" s="40" t="str">
        <x:v>牆 副 筋</x:v>
      </x:c>
      <x:c r="E113" s="41" t="n">
        <x:v>18</x:v>
      </x:c>
      <x:c r="F113" s="40" t="str">
        <x:v>右欄</x:v>
      </x:c>
      <x:c r="G113" s="38" t="n">
        <x:v>3</x:v>
      </x:c>
      <x:c r="H113" s="37" t="n">
        <x:v>120</x:v>
      </x:c>
      <x:c r="I113" s="37" t="n">
        <x:v>20</x:v>
      </x:c>
      <x:c r="J113" s="37"/>
      <x:c r="K113" s="36" t="n">
        <x:v>105</x:v>
      </x:c>
      <x:c r="L113" s="37" t="n">
        <x:v>15</x:v>
      </x:c>
      <x:c r="M113" s="42" t="n">
        <x:f>IF(G113="","",INDEX('規格與範圍'!$B$14:$B$23,MATCH(G113,'規格與範圍'!$A$14:$A$23,0)))</x:f>
        <x:v>0.559</x:v>
      </x:c>
      <x:c r="N113" s="42" t="n">
        <x:f>IF(OR(H113="",I113="",M113=""),"",H113*I113*M113/100)</x:f>
        <x:v>13.416000000000002</x:v>
      </x:c>
      <x:c r="O113" s="36" t="str">
        <x:v>友愛街 3F梁版往上 鋼筋料單 114.08.28.XLS｜工作表 02｜原列 18｜右欄</x:v>
      </x:c>
    </x:row>
    <x:row r="114" ht="15" hidden="0" customHeight="1">
      <x:c r="A114" s="40" t="str">
        <x:v>02</x:v>
      </x:c>
      <x:c r="B114" s="40" t="str">
        <x:v>3F</x:v>
      </x:c>
      <x:c r="C114" s="40" t="str">
        <x:v>柱牆</x:v>
      </x:c>
      <x:c r="D114" s="40" t="str">
        <x:v>牆 副 筋</x:v>
      </x:c>
      <x:c r="E114" s="41" t="n">
        <x:v>19</x:v>
      </x:c>
      <x:c r="F114" s="40" t="str">
        <x:v>右欄</x:v>
      </x:c>
      <x:c r="G114" s="38" t="n">
        <x:v>3</x:v>
      </x:c>
      <x:c r="H114" s="37" t="n">
        <x:v>100</x:v>
      </x:c>
      <x:c r="I114" s="37" t="n">
        <x:v>38</x:v>
      </x:c>
      <x:c r="J114" s="37"/>
      <x:c r="K114" s="36" t="n">
        <x:v>85</x:v>
      </x:c>
      <x:c r="L114" s="37" t="n">
        <x:v>15</x:v>
      </x:c>
      <x:c r="M114" s="42" t="n">
        <x:f>IF(G114="","",INDEX('規格與範圍'!$B$14:$B$23,MATCH(G114,'規格與範圍'!$A$14:$A$23,0)))</x:f>
        <x:v>0.559</x:v>
      </x:c>
      <x:c r="N114" s="42" t="n">
        <x:f>IF(OR(H114="",I114="",M114=""),"",H114*I114*M114/100)</x:f>
        <x:v>21.242000000000004</x:v>
      </x:c>
      <x:c r="O114" s="36" t="str">
        <x:v>友愛街 3F梁版往上 鋼筋料單 114.08.28.XLS｜工作表 02｜原列 19｜右欄</x:v>
      </x:c>
    </x:row>
    <x:row r="115" ht="15" hidden="0" customHeight="1">
      <x:c r="A115" s="40" t="str">
        <x:v>02</x:v>
      </x:c>
      <x:c r="B115" s="40" t="str">
        <x:v>3F</x:v>
      </x:c>
      <x:c r="C115" s="40" t="str">
        <x:v>柱牆</x:v>
      </x:c>
      <x:c r="D115" s="40" t="str">
        <x:v>牆 副 筋</x:v>
      </x:c>
      <x:c r="E115" s="41" t="n">
        <x:v>20</x:v>
      </x:c>
      <x:c r="F115" s="40" t="str">
        <x:v>右欄</x:v>
      </x:c>
      <x:c r="G115" s="38" t="n">
        <x:v>3</x:v>
      </x:c>
      <x:c r="H115" s="37" t="n">
        <x:v>375</x:v>
      </x:c>
      <x:c r="I115" s="37" t="n">
        <x:v>258</x:v>
      </x:c>
      <x:c r="J115" s="37"/>
      <x:c r="K115" s="36" t="n">
        <x:v>375</x:v>
      </x:c>
      <x:c r="L115" s="37"/>
      <x:c r="M115" s="42" t="n">
        <x:f>IF(G115="","",INDEX('規格與範圍'!$B$14:$B$23,MATCH(G115,'規格與範圍'!$A$14:$A$23,0)))</x:f>
        <x:v>0.559</x:v>
      </x:c>
      <x:c r="N115" s="42" t="n">
        <x:f>IF(OR(H115="",I115="",M115=""),"",H115*I115*M115/100)</x:f>
        <x:v>540.8325000000001</x:v>
      </x:c>
      <x:c r="O115" s="36" t="str">
        <x:v>友愛街 3F梁版往上 鋼筋料單 114.08.28.XLS｜工作表 02｜原列 20｜右欄</x:v>
      </x:c>
    </x:row>
    <x:row r="116" ht="15" hidden="0" customHeight="1">
      <x:c r="A116" s="40" t="str">
        <x:v>02</x:v>
      </x:c>
      <x:c r="B116" s="40" t="str">
        <x:v>3F</x:v>
      </x:c>
      <x:c r="C116" s="40" t="str">
        <x:v>柱牆</x:v>
      </x:c>
      <x:c r="D116" s="40" t="str">
        <x:v>牆 副 筋</x:v>
      </x:c>
      <x:c r="E116" s="41" t="n">
        <x:v>21</x:v>
      </x:c>
      <x:c r="F116" s="40" t="str">
        <x:v>右欄</x:v>
      </x:c>
      <x:c r="G116" s="38" t="n">
        <x:v>3</x:v>
      </x:c>
      <x:c r="H116" s="37" t="n">
        <x:v>235</x:v>
      </x:c>
      <x:c r="I116" s="37" t="n">
        <x:v>14</x:v>
      </x:c>
      <x:c r="J116" s="37"/>
      <x:c r="K116" s="36" t="n">
        <x:v>235</x:v>
      </x:c>
      <x:c r="L116" s="37"/>
      <x:c r="M116" s="42" t="n">
        <x:f>IF(G116="","",INDEX('規格與範圍'!$B$14:$B$23,MATCH(G116,'規格與範圍'!$A$14:$A$23,0)))</x:f>
        <x:v>0.559</x:v>
      </x:c>
      <x:c r="N116" s="42" t="n">
        <x:f>IF(OR(H116="",I116="",M116=""),"",H116*I116*M116/100)</x:f>
        <x:v>18.3911</x:v>
      </x:c>
      <x:c r="O116" s="36" t="str">
        <x:v>友愛街 3F梁版往上 鋼筋料單 114.08.28.XLS｜工作表 02｜原列 21｜右欄</x:v>
      </x:c>
    </x:row>
    <x:row r="117" ht="15" hidden="0" customHeight="1">
      <x:c r="A117" s="40" t="str">
        <x:v>02</x:v>
      </x:c>
      <x:c r="B117" s="40" t="str">
        <x:v>3F</x:v>
      </x:c>
      <x:c r="C117" s="40" t="str">
        <x:v>柱牆</x:v>
      </x:c>
      <x:c r="D117" s="40" t="str">
        <x:v>牆 副 筋</x:v>
      </x:c>
      <x:c r="E117" s="41" t="n">
        <x:v>22</x:v>
      </x:c>
      <x:c r="F117" s="40" t="str">
        <x:v>右欄</x:v>
      </x:c>
      <x:c r="G117" s="38" t="n">
        <x:v>3</x:v>
      </x:c>
      <x:c r="H117" s="37" t="n">
        <x:v>175</x:v>
      </x:c>
      <x:c r="I117" s="37" t="n">
        <x:v>42</x:v>
      </x:c>
      <x:c r="J117" s="37"/>
      <x:c r="K117" s="36" t="n">
        <x:v>175</x:v>
      </x:c>
      <x:c r="L117" s="37"/>
      <x:c r="M117" s="42" t="n">
        <x:f>IF(G117="","",INDEX('規格與範圍'!$B$14:$B$23,MATCH(G117,'規格與範圍'!$A$14:$A$23,0)))</x:f>
        <x:v>0.559</x:v>
      </x:c>
      <x:c r="N117" s="42" t="n">
        <x:f>IF(OR(H117="",I117="",M117=""),"",H117*I117*M117/100)</x:f>
        <x:v>41.08650000000001</x:v>
      </x:c>
      <x:c r="O117" s="36" t="str">
        <x:v>友愛街 3F梁版往上 鋼筋料單 114.08.28.XLS｜工作表 02｜原列 22｜右欄</x:v>
      </x:c>
    </x:row>
    <x:row r="118" ht="15" hidden="0" customHeight="1">
      <x:c r="A118" s="40" t="str">
        <x:v>02</x:v>
      </x:c>
      <x:c r="B118" s="40" t="str">
        <x:v>3F</x:v>
      </x:c>
      <x:c r="C118" s="40" t="str">
        <x:v>柱牆</x:v>
      </x:c>
      <x:c r="D118" s="40" t="str">
        <x:v>牆 副 筋</x:v>
      </x:c>
      <x:c r="E118" s="41" t="n">
        <x:v>23</x:v>
      </x:c>
      <x:c r="F118" s="40" t="str">
        <x:v>右欄</x:v>
      </x:c>
      <x:c r="G118" s="38" t="n">
        <x:v>3</x:v>
      </x:c>
      <x:c r="H118" s="37" t="n">
        <x:v>140</x:v>
      </x:c>
      <x:c r="I118" s="37" t="n">
        <x:v>40</x:v>
      </x:c>
      <x:c r="J118" s="37"/>
      <x:c r="K118" s="36" t="n">
        <x:v>140</x:v>
      </x:c>
      <x:c r="L118" s="37"/>
      <x:c r="M118" s="42" t="n">
        <x:f>IF(G118="","",INDEX('規格與範圍'!$B$14:$B$23,MATCH(G118,'規格與範圍'!$A$14:$A$23,0)))</x:f>
        <x:v>0.559</x:v>
      </x:c>
      <x:c r="N118" s="42" t="n">
        <x:f>IF(OR(H118="",I118="",M118=""),"",H118*I118*M118/100)</x:f>
        <x:v>31.304000000000002</x:v>
      </x:c>
      <x:c r="O118" s="36" t="str">
        <x:v>友愛街 3F梁版往上 鋼筋料單 114.08.28.XLS｜工作表 02｜原列 23｜右欄</x:v>
      </x:c>
    </x:row>
    <x:row r="119" ht="15" hidden="0" customHeight="1">
      <x:c r="A119" s="40" t="str">
        <x:v>02</x:v>
      </x:c>
      <x:c r="B119" s="40" t="str">
        <x:v>3F</x:v>
      </x:c>
      <x:c r="C119" s="40" t="str">
        <x:v>柱牆</x:v>
      </x:c>
      <x:c r="D119" s="40" t="str">
        <x:v>牆 副 筋</x:v>
      </x:c>
      <x:c r="E119" s="41" t="n">
        <x:v>24</x:v>
      </x:c>
      <x:c r="F119" s="40" t="str">
        <x:v>右欄</x:v>
      </x:c>
      <x:c r="G119" s="38" t="n">
        <x:v>3</x:v>
      </x:c>
      <x:c r="H119" s="37" t="n">
        <x:v>120</x:v>
      </x:c>
      <x:c r="I119" s="37" t="n">
        <x:v>14</x:v>
      </x:c>
      <x:c r="J119" s="37"/>
      <x:c r="K119" s="36" t="n">
        <x:v>120</x:v>
      </x:c>
      <x:c r="L119" s="37"/>
      <x:c r="M119" s="42" t="n">
        <x:f>IF(G119="","",INDEX('規格與範圍'!$B$14:$B$23,MATCH(G119,'規格與範圍'!$A$14:$A$23,0)))</x:f>
        <x:v>0.559</x:v>
      </x:c>
      <x:c r="N119" s="42" t="n">
        <x:f>IF(OR(H119="",I119="",M119=""),"",H119*I119*M119/100)</x:f>
        <x:v>9.391200000000001</x:v>
      </x:c>
      <x:c r="O119" s="36" t="str">
        <x:v>友愛街 3F梁版往上 鋼筋料單 114.08.28.XLS｜工作表 02｜原列 24｜右欄</x:v>
      </x:c>
    </x:row>
    <x:row r="120" ht="15" hidden="0" customHeight="1">
      <x:c r="A120" s="40" t="str">
        <x:v>02</x:v>
      </x:c>
      <x:c r="B120" s="40" t="str">
        <x:v>3F</x:v>
      </x:c>
      <x:c r="C120" s="40" t="str">
        <x:v>柱牆</x:v>
      </x:c>
      <x:c r="D120" s="40" t="str">
        <x:v>牆 副 筋</x:v>
      </x:c>
      <x:c r="E120" s="41" t="n">
        <x:v>25</x:v>
      </x:c>
      <x:c r="F120" s="40" t="str">
        <x:v>右欄</x:v>
      </x:c>
      <x:c r="G120" s="38" t="n">
        <x:v>3</x:v>
      </x:c>
      <x:c r="H120" s="37" t="n">
        <x:v>105</x:v>
      </x:c>
      <x:c r="I120" s="37" t="n">
        <x:v>12</x:v>
      </x:c>
      <x:c r="J120" s="37"/>
      <x:c r="K120" s="36" t="n">
        <x:v>105</x:v>
      </x:c>
      <x:c r="L120" s="37"/>
      <x:c r="M120" s="42" t="n">
        <x:f>IF(G120="","",INDEX('規格與範圍'!$B$14:$B$23,MATCH(G120,'規格與範圍'!$A$14:$A$23,0)))</x:f>
        <x:v>0.559</x:v>
      </x:c>
      <x:c r="N120" s="42" t="n">
        <x:f>IF(OR(H120="",I120="",M120=""),"",H120*I120*M120/100)</x:f>
        <x:v>7.0434</x:v>
      </x:c>
      <x:c r="O120" s="36" t="str">
        <x:v>友愛街 3F梁版往上 鋼筋料單 114.08.28.XLS｜工作表 02｜原列 25｜右欄</x:v>
      </x:c>
    </x:row>
    <x:row r="121" ht="15" hidden="0" customHeight="1">
      <x:c r="A121" s="40" t="str">
        <x:v>02</x:v>
      </x:c>
      <x:c r="B121" s="40" t="str">
        <x:v>3F</x:v>
      </x:c>
      <x:c r="C121" s="40" t="str">
        <x:v>柱牆</x:v>
      </x:c>
      <x:c r="D121" s="40" t="str">
        <x:v>牆 副 筋</x:v>
      </x:c>
      <x:c r="E121" s="41" t="n">
        <x:v>26</x:v>
      </x:c>
      <x:c r="F121" s="40" t="str">
        <x:v>右欄</x:v>
      </x:c>
      <x:c r="G121" s="38" t="n">
        <x:v>3</x:v>
      </x:c>
      <x:c r="H121" s="37" t="n">
        <x:v>75</x:v>
      </x:c>
      <x:c r="I121" s="37" t="n">
        <x:v>40</x:v>
      </x:c>
      <x:c r="J121" s="37"/>
      <x:c r="K121" s="36" t="n">
        <x:v>75</x:v>
      </x:c>
      <x:c r="L121" s="37"/>
      <x:c r="M121" s="42" t="n">
        <x:f>IF(G121="","",INDEX('規格與範圍'!$B$14:$B$23,MATCH(G121,'規格與範圍'!$A$14:$A$23,0)))</x:f>
        <x:v>0.559</x:v>
      </x:c>
      <x:c r="N121" s="42" t="n">
        <x:f>IF(OR(H121="",I121="",M121=""),"",H121*I121*M121/100)</x:f>
        <x:v>16.770000000000003</x:v>
      </x:c>
      <x:c r="O121" s="36" t="str">
        <x:v>友愛街 3F梁版往上 鋼筋料單 114.08.28.XLS｜工作表 02｜原列 26｜右欄</x:v>
      </x:c>
    </x:row>
    <x:row r="122" ht="15" hidden="0" customHeight="1">
      <x:c r="A122" s="40" t="str">
        <x:v>02</x:v>
      </x:c>
      <x:c r="B122" s="40" t="str">
        <x:v>3F</x:v>
      </x:c>
      <x:c r="C122" s="40" t="str">
        <x:v>柱牆</x:v>
      </x:c>
      <x:c r="D122" s="40" t="str">
        <x:v>牆 副 筋</x:v>
      </x:c>
      <x:c r="E122" s="41" t="n">
        <x:v>27</x:v>
      </x:c>
      <x:c r="F122" s="40" t="str">
        <x:v>右欄</x:v>
      </x:c>
      <x:c r="G122" s="38" t="n">
        <x:v>3</x:v>
      </x:c>
      <x:c r="H122" s="37" t="n">
        <x:v>55</x:v>
      </x:c>
      <x:c r="I122" s="37" t="n">
        <x:v>12</x:v>
      </x:c>
      <x:c r="J122" s="37"/>
      <x:c r="K122" s="36" t="n">
        <x:v>55</x:v>
      </x:c>
      <x:c r="L122" s="37"/>
      <x:c r="M122" s="42" t="n">
        <x:f>IF(G122="","",INDEX('規格與範圍'!$B$14:$B$23,MATCH(G122,'規格與範圍'!$A$14:$A$23,0)))</x:f>
        <x:v>0.559</x:v>
      </x:c>
      <x:c r="N122" s="42" t="n">
        <x:f>IF(OR(H122="",I122="",M122=""),"",H122*I122*M122/100)</x:f>
        <x:v>3.6894000000000005</x:v>
      </x:c>
      <x:c r="O122" s="36" t="str">
        <x:v>友愛街 3F梁版往上 鋼筋料單 114.08.28.XLS｜工作表 02｜原列 27｜右欄</x:v>
      </x:c>
    </x:row>
    <x:row r="123" ht="15" hidden="0" customHeight="1">
      <x:c r="A123" s="40" t="str">
        <x:v>02</x:v>
      </x:c>
      <x:c r="B123" s="40" t="str">
        <x:v>3F</x:v>
      </x:c>
      <x:c r="C123" s="40" t="str">
        <x:v>柱牆</x:v>
      </x:c>
      <x:c r="D123" s="40" t="str">
        <x:v>牆 副 筋</x:v>
      </x:c>
      <x:c r="E123" s="41" t="n">
        <x:v>29</x:v>
      </x:c>
      <x:c r="F123" s="40" t="str">
        <x:v>右欄</x:v>
      </x:c>
      <x:c r="G123" s="38" t="n">
        <x:v>3</x:v>
      </x:c>
      <x:c r="H123" s="37" t="n">
        <x:v>150</x:v>
      </x:c>
      <x:c r="I123" s="37" t="n">
        <x:v>28</x:v>
      </x:c>
      <x:c r="J123" s="37" t="n">
        <x:v>70</x:v>
      </x:c>
      <x:c r="K123" s="36" t="n">
        <x:v>10</x:v>
      </x:c>
      <x:c r="L123" s="37" t="n">
        <x:v>70</x:v>
      </x:c>
      <x:c r="M123" s="42" t="n">
        <x:f>IF(G123="","",INDEX('規格與範圍'!$B$14:$B$23,MATCH(G123,'規格與範圍'!$A$14:$A$23,0)))</x:f>
        <x:v>0.559</x:v>
      </x:c>
      <x:c r="N123" s="42" t="n">
        <x:f>IF(OR(H123="",I123="",M123=""),"",H123*I123*M123/100)</x:f>
        <x:v>23.478</x:v>
      </x:c>
      <x:c r="O123" s="36" t="str">
        <x:v>友愛街 3F梁版往上 鋼筋料單 114.08.28.XLS｜工作表 02｜原列 29｜右欄</x:v>
      </x:c>
    </x:row>
    <x:row r="124" ht="15" hidden="0" customHeight="1">
      <x:c r="A124" s="40" t="str">
        <x:v>03</x:v>
      </x:c>
      <x:c r="B124" s="40" t="str">
        <x:v>4F</x:v>
      </x:c>
      <x:c r="C124" s="40" t="str">
        <x:v>梁版</x:v>
      </x:c>
      <x:c r="D124" s="40" t="str">
        <x:v>樑 筋</x:v>
      </x:c>
      <x:c r="E124" s="41" t="n">
        <x:v>5</x:v>
      </x:c>
      <x:c r="F124" s="40" t="str">
        <x:v>左欄</x:v>
      </x:c>
      <x:c r="G124" s="38" t="n">
        <x:v>8</x:v>
      </x:c>
      <x:c r="H124" s="37" t="n">
        <x:v>650</x:v>
      </x:c>
      <x:c r="I124" s="37" t="n">
        <x:v>12</x:v>
      </x:c>
      <x:c r="J124" s="37" t="n">
        <x:v>0</x:v>
      </x:c>
      <x:c r="K124" s="36" t="n">
        <x:v>610</x:v>
      </x:c>
      <x:c r="L124" s="37" t="n">
        <x:v>40</x:v>
      </x:c>
      <x:c r="M124" s="42" t="n">
        <x:f>IF(G124="","",INDEX('規格與範圍'!$B$14:$B$23,MATCH(G124,'規格與範圍'!$A$14:$A$23,0)))</x:f>
        <x:v>3.98</x:v>
      </x:c>
      <x:c r="N124" s="42" t="n">
        <x:f>IF(OR(H124="",I124="",M124=""),"",H124*I124*M124/100)</x:f>
        <x:v>310.44</x:v>
      </x:c>
      <x:c r="O124" s="36" t="str">
        <x:v>友愛街 3F梁版往上 鋼筋料單 114.08.28.XLS｜工作表 03｜原列 5｜左欄</x:v>
      </x:c>
    </x:row>
    <x:row r="125" ht="15" hidden="0" customHeight="1">
      <x:c r="A125" s="40" t="str">
        <x:v>03</x:v>
      </x:c>
      <x:c r="B125" s="40" t="str">
        <x:v>4F</x:v>
      </x:c>
      <x:c r="C125" s="40" t="str">
        <x:v>梁版</x:v>
      </x:c>
      <x:c r="D125" s="40" t="str">
        <x:v>樑 筋</x:v>
      </x:c>
      <x:c r="E125" s="41" t="n">
        <x:v>6</x:v>
      </x:c>
      <x:c r="F125" s="40" t="str">
        <x:v>左欄</x:v>
      </x:c>
      <x:c r="G125" s="38" t="n">
        <x:v>8</x:v>
      </x:c>
      <x:c r="H125" s="37" t="n">
        <x:v>600</x:v>
      </x:c>
      <x:c r="I125" s="37" t="n">
        <x:v>8</x:v>
      </x:c>
      <x:c r="J125" s="37" t="n">
        <x:v>0</x:v>
      </x:c>
      <x:c r="K125" s="36" t="n">
        <x:v>560</x:v>
      </x:c>
      <x:c r="L125" s="37" t="n">
        <x:v>40</x:v>
      </x:c>
      <x:c r="M125" s="42" t="n">
        <x:f>IF(G125="","",INDEX('規格與範圍'!$B$14:$B$23,MATCH(G125,'規格與範圍'!$A$14:$A$23,0)))</x:f>
        <x:v>3.98</x:v>
      </x:c>
      <x:c r="N125" s="42" t="n">
        <x:f>IF(OR(H125="",I125="",M125=""),"",H125*I125*M125/100)</x:f>
        <x:v>191.04</x:v>
      </x:c>
      <x:c r="O125" s="36" t="str">
        <x:v>友愛街 3F梁版往上 鋼筋料單 114.08.28.XLS｜工作表 03｜原列 6｜左欄</x:v>
      </x:c>
    </x:row>
    <x:row r="126" ht="15" hidden="0" customHeight="1">
      <x:c r="A126" s="40" t="str">
        <x:v>03</x:v>
      </x:c>
      <x:c r="B126" s="40" t="str">
        <x:v>4F</x:v>
      </x:c>
      <x:c r="C126" s="40" t="str">
        <x:v>梁版</x:v>
      </x:c>
      <x:c r="D126" s="40" t="str">
        <x:v>樑 筋</x:v>
      </x:c>
      <x:c r="E126" s="41" t="n">
        <x:v>7</x:v>
      </x:c>
      <x:c r="F126" s="40" t="str">
        <x:v>左欄</x:v>
      </x:c>
      <x:c r="G126" s="38" t="n">
        <x:v>8</x:v>
      </x:c>
      <x:c r="H126" s="37" t="n">
        <x:v>500</x:v>
      </x:c>
      <x:c r="I126" s="37" t="n">
        <x:v>18</x:v>
      </x:c>
      <x:c r="J126" s="37" t="n">
        <x:v>0</x:v>
      </x:c>
      <x:c r="K126" s="36" t="n">
        <x:v>460</x:v>
      </x:c>
      <x:c r="L126" s="37" t="n">
        <x:v>40</x:v>
      </x:c>
      <x:c r="M126" s="42" t="n">
        <x:f>IF(G126="","",INDEX('規格與範圍'!$B$14:$B$23,MATCH(G126,'規格與範圍'!$A$14:$A$23,0)))</x:f>
        <x:v>3.98</x:v>
      </x:c>
      <x:c r="N126" s="42" t="n">
        <x:f>IF(OR(H126="",I126="",M126=""),"",H126*I126*M126/100)</x:f>
        <x:v>358.2</x:v>
      </x:c>
      <x:c r="O126" s="36" t="str">
        <x:v>友愛街 3F梁版往上 鋼筋料單 114.08.28.XLS｜工作表 03｜原列 7｜左欄</x:v>
      </x:c>
    </x:row>
    <x:row r="127" ht="15" hidden="0" customHeight="1">
      <x:c r="A127" s="40" t="str">
        <x:v>03</x:v>
      </x:c>
      <x:c r="B127" s="40" t="str">
        <x:v>4F</x:v>
      </x:c>
      <x:c r="C127" s="40" t="str">
        <x:v>梁版</x:v>
      </x:c>
      <x:c r="D127" s="40" t="str">
        <x:v>樑 筋</x:v>
      </x:c>
      <x:c r="E127" s="41" t="n">
        <x:v>8</x:v>
      </x:c>
      <x:c r="F127" s="40" t="str">
        <x:v>左欄</x:v>
      </x:c>
      <x:c r="G127" s="38" t="n">
        <x:v>8</x:v>
      </x:c>
      <x:c r="H127" s="37" t="n">
        <x:v>400</x:v>
      </x:c>
      <x:c r="I127" s="37" t="n">
        <x:v>18</x:v>
      </x:c>
      <x:c r="J127" s="37" t="n">
        <x:v>0</x:v>
      </x:c>
      <x:c r="K127" s="36" t="n">
        <x:v>360</x:v>
      </x:c>
      <x:c r="L127" s="37" t="n">
        <x:v>40</x:v>
      </x:c>
      <x:c r="M127" s="42" t="n">
        <x:f>IF(G127="","",INDEX('規格與範圍'!$B$14:$B$23,MATCH(G127,'規格與範圍'!$A$14:$A$23,0)))</x:f>
        <x:v>3.98</x:v>
      </x:c>
      <x:c r="N127" s="42" t="n">
        <x:f>IF(OR(H127="",I127="",M127=""),"",H127*I127*M127/100)</x:f>
        <x:v>286.56</x:v>
      </x:c>
      <x:c r="O127" s="36" t="str">
        <x:v>友愛街 3F梁版往上 鋼筋料單 114.08.28.XLS｜工作表 03｜原列 8｜左欄</x:v>
      </x:c>
    </x:row>
    <x:row r="128" ht="15" hidden="0" customHeight="1">
      <x:c r="A128" s="40" t="str">
        <x:v>03</x:v>
      </x:c>
      <x:c r="B128" s="40" t="str">
        <x:v>4F</x:v>
      </x:c>
      <x:c r="C128" s="40" t="str">
        <x:v>梁版</x:v>
      </x:c>
      <x:c r="D128" s="40" t="str">
        <x:v>樑 筋</x:v>
      </x:c>
      <x:c r="E128" s="41" t="n">
        <x:v>9</x:v>
      </x:c>
      <x:c r="F128" s="40" t="str">
        <x:v>左欄</x:v>
      </x:c>
      <x:c r="G128" s="38" t="n">
        <x:v>8</x:v>
      </x:c>
      <x:c r="H128" s="37" t="n">
        <x:v>350</x:v>
      </x:c>
      <x:c r="I128" s="37" t="n">
        <x:v>20</x:v>
      </x:c>
      <x:c r="J128" s="37" t="n">
        <x:v>0</x:v>
      </x:c>
      <x:c r="K128" s="36" t="n">
        <x:v>310</x:v>
      </x:c>
      <x:c r="L128" s="37" t="n">
        <x:v>40</x:v>
      </x:c>
      <x:c r="M128" s="42" t="n">
        <x:f>IF(G128="","",INDEX('規格與範圍'!$B$14:$B$23,MATCH(G128,'規格與範圍'!$A$14:$A$23,0)))</x:f>
        <x:v>3.98</x:v>
      </x:c>
      <x:c r="N128" s="42" t="n">
        <x:f>IF(OR(H128="",I128="",M128=""),"",H128*I128*M128/100)</x:f>
        <x:v>278.6</x:v>
      </x:c>
      <x:c r="O128" s="36" t="str">
        <x:v>友愛街 3F梁版往上 鋼筋料單 114.08.28.XLS｜工作表 03｜原列 9｜左欄</x:v>
      </x:c>
    </x:row>
    <x:row r="129" ht="15" hidden="0" customHeight="1">
      <x:c r="A129" s="40" t="str">
        <x:v>03</x:v>
      </x:c>
      <x:c r="B129" s="40" t="str">
        <x:v>4F</x:v>
      </x:c>
      <x:c r="C129" s="40" t="str">
        <x:v>梁版</x:v>
      </x:c>
      <x:c r="D129" s="40" t="str">
        <x:v>樑 筋</x:v>
      </x:c>
      <x:c r="E129" s="41" t="n">
        <x:v>10</x:v>
      </x:c>
      <x:c r="F129" s="40" t="str">
        <x:v>左欄</x:v>
      </x:c>
      <x:c r="G129" s="38" t="n">
        <x:v>8</x:v>
      </x:c>
      <x:c r="H129" s="37" t="n">
        <x:v>300</x:v>
      </x:c>
      <x:c r="I129" s="37" t="n">
        <x:v>15</x:v>
      </x:c>
      <x:c r="J129" s="37" t="n">
        <x:v>0</x:v>
      </x:c>
      <x:c r="K129" s="36" t="n">
        <x:v>260</x:v>
      </x:c>
      <x:c r="L129" s="37" t="n">
        <x:v>40</x:v>
      </x:c>
      <x:c r="M129" s="42" t="n">
        <x:f>IF(G129="","",INDEX('規格與範圍'!$B$14:$B$23,MATCH(G129,'規格與範圍'!$A$14:$A$23,0)))</x:f>
        <x:v>3.98</x:v>
      </x:c>
      <x:c r="N129" s="42" t="n">
        <x:f>IF(OR(H129="",I129="",M129=""),"",H129*I129*M129/100)</x:f>
        <x:v>179.1</x:v>
      </x:c>
      <x:c r="O129" s="36" t="str">
        <x:v>友愛街 3F梁版往上 鋼筋料單 114.08.28.XLS｜工作表 03｜原列 10｜左欄</x:v>
      </x:c>
    </x:row>
    <x:row r="130" ht="15" hidden="0" customHeight="1">
      <x:c r="A130" s="40" t="str">
        <x:v>03</x:v>
      </x:c>
      <x:c r="B130" s="40" t="str">
        <x:v>4F</x:v>
      </x:c>
      <x:c r="C130" s="40" t="str">
        <x:v>梁版</x:v>
      </x:c>
      <x:c r="D130" s="40" t="str">
        <x:v>樑 筋</x:v>
      </x:c>
      <x:c r="E130" s="41" t="n">
        <x:v>11</x:v>
      </x:c>
      <x:c r="F130" s="40" t="str">
        <x:v>左欄</x:v>
      </x:c>
      <x:c r="G130" s="38" t="n">
        <x:v>8</x:v>
      </x:c>
      <x:c r="H130" s="37" t="n">
        <x:v>790</x:v>
      </x:c>
      <x:c r="I130" s="37" t="n">
        <x:v>16</x:v>
      </x:c>
      <x:c r="J130" s="37" t="n">
        <x:v>0</x:v>
      </x:c>
      <x:c r="K130" s="36" t="n">
        <x:v>760</x:v>
      </x:c>
      <x:c r="L130" s="37" t="n">
        <x:v>30</x:v>
      </x:c>
      <x:c r="M130" s="42" t="n">
        <x:f>IF(G130="","",INDEX('規格與範圍'!$B$14:$B$23,MATCH(G130,'規格與範圍'!$A$14:$A$23,0)))</x:f>
        <x:v>3.98</x:v>
      </x:c>
      <x:c r="N130" s="42" t="n">
        <x:f>IF(OR(H130="",I130="",M130=""),"",H130*I130*M130/100)</x:f>
        <x:v>503.07199999999995</x:v>
      </x:c>
      <x:c r="O130" s="36" t="str">
        <x:v>友愛街 3F梁版往上 鋼筋料單 114.08.28.XLS｜工作表 03｜原列 11｜左欄</x:v>
      </x:c>
    </x:row>
    <x:row r="131" ht="15" hidden="0" customHeight="1">
      <x:c r="A131" s="40" t="str">
        <x:v>03</x:v>
      </x:c>
      <x:c r="B131" s="40" t="str">
        <x:v>4F</x:v>
      </x:c>
      <x:c r="C131" s="40" t="str">
        <x:v>梁版</x:v>
      </x:c>
      <x:c r="D131" s="40" t="str">
        <x:v>樑 筋</x:v>
      </x:c>
      <x:c r="E131" s="41" t="n">
        <x:v>12</x:v>
      </x:c>
      <x:c r="F131" s="40" t="str">
        <x:v>左欄</x:v>
      </x:c>
      <x:c r="G131" s="38" t="n">
        <x:v>8</x:v>
      </x:c>
      <x:c r="H131" s="37" t="n">
        <x:v>540</x:v>
      </x:c>
      <x:c r="I131" s="37" t="n">
        <x:v>9</x:v>
      </x:c>
      <x:c r="J131" s="37" t="n">
        <x:v>0</x:v>
      </x:c>
      <x:c r="K131" s="36" t="n">
        <x:v>510</x:v>
      </x:c>
      <x:c r="L131" s="37" t="n">
        <x:v>30</x:v>
      </x:c>
      <x:c r="M131" s="42" t="n">
        <x:f>IF(G131="","",INDEX('規格與範圍'!$B$14:$B$23,MATCH(G131,'規格與範圍'!$A$14:$A$23,0)))</x:f>
        <x:v>3.98</x:v>
      </x:c>
      <x:c r="N131" s="42" t="n">
        <x:f>IF(OR(H131="",I131="",M131=""),"",H131*I131*M131/100)</x:f>
        <x:v>193.428</x:v>
      </x:c>
      <x:c r="O131" s="36" t="str">
        <x:v>友愛街 3F梁版往上 鋼筋料單 114.08.28.XLS｜工作表 03｜原列 12｜左欄</x:v>
      </x:c>
    </x:row>
    <x:row r="132" ht="15" hidden="0" customHeight="1">
      <x:c r="A132" s="40" t="str">
        <x:v>03</x:v>
      </x:c>
      <x:c r="B132" s="40" t="str">
        <x:v>4F</x:v>
      </x:c>
      <x:c r="C132" s="40" t="str">
        <x:v>梁版</x:v>
      </x:c>
      <x:c r="D132" s="40" t="str">
        <x:v>樑 筋</x:v>
      </x:c>
      <x:c r="E132" s="41" t="n">
        <x:v>13</x:v>
      </x:c>
      <x:c r="F132" s="40" t="str">
        <x:v>左欄</x:v>
      </x:c>
      <x:c r="G132" s="38" t="n">
        <x:v>8</x:v>
      </x:c>
      <x:c r="H132" s="37" t="n">
        <x:v>440</x:v>
      </x:c>
      <x:c r="I132" s="37" t="n">
        <x:v>19</x:v>
      </x:c>
      <x:c r="J132" s="37" t="n">
        <x:v>0</x:v>
      </x:c>
      <x:c r="K132" s="36" t="n">
        <x:v>410</x:v>
      </x:c>
      <x:c r="L132" s="37" t="n">
        <x:v>30</x:v>
      </x:c>
      <x:c r="M132" s="42" t="n">
        <x:f>IF(G132="","",INDEX('規格與範圍'!$B$14:$B$23,MATCH(G132,'規格與範圍'!$A$14:$A$23,0)))</x:f>
        <x:v>3.98</x:v>
      </x:c>
      <x:c r="N132" s="42" t="n">
        <x:f>IF(OR(H132="",I132="",M132=""),"",H132*I132*M132/100)</x:f>
        <x:v>332.728</x:v>
      </x:c>
      <x:c r="O132" s="36" t="str">
        <x:v>友愛街 3F梁版往上 鋼筋料單 114.08.28.XLS｜工作表 03｜原列 13｜左欄</x:v>
      </x:c>
    </x:row>
    <x:row r="133" ht="15" hidden="0" customHeight="1">
      <x:c r="A133" s="40" t="str">
        <x:v>03</x:v>
      </x:c>
      <x:c r="B133" s="40" t="str">
        <x:v>4F</x:v>
      </x:c>
      <x:c r="C133" s="40" t="str">
        <x:v>梁版</x:v>
      </x:c>
      <x:c r="D133" s="40" t="str">
        <x:v>樑 筋</x:v>
      </x:c>
      <x:c r="E133" s="41" t="n">
        <x:v>14</x:v>
      </x:c>
      <x:c r="F133" s="40" t="str">
        <x:v>左欄</x:v>
      </x:c>
      <x:c r="G133" s="38" t="n">
        <x:v>8</x:v>
      </x:c>
      <x:c r="H133" s="37" t="n">
        <x:v>390</x:v>
      </x:c>
      <x:c r="I133" s="37" t="n">
        <x:v>6</x:v>
      </x:c>
      <x:c r="J133" s="37" t="n">
        <x:v>0</x:v>
      </x:c>
      <x:c r="K133" s="36" t="n">
        <x:v>360</x:v>
      </x:c>
      <x:c r="L133" s="37" t="n">
        <x:v>30</x:v>
      </x:c>
      <x:c r="M133" s="42" t="n">
        <x:f>IF(G133="","",INDEX('規格與範圍'!$B$14:$B$23,MATCH(G133,'規格與範圍'!$A$14:$A$23,0)))</x:f>
        <x:v>3.98</x:v>
      </x:c>
      <x:c r="N133" s="42" t="n">
        <x:f>IF(OR(H133="",I133="",M133=""),"",H133*I133*M133/100)</x:f>
        <x:v>93.132</x:v>
      </x:c>
      <x:c r="O133" s="36" t="str">
        <x:v>友愛街 3F梁版往上 鋼筋料單 114.08.28.XLS｜工作表 03｜原列 14｜左欄</x:v>
      </x:c>
    </x:row>
    <x:row r="134" ht="15" hidden="0" customHeight="1">
      <x:c r="A134" s="40" t="str">
        <x:v>03</x:v>
      </x:c>
      <x:c r="B134" s="40" t="str">
        <x:v>4F</x:v>
      </x:c>
      <x:c r="C134" s="40" t="str">
        <x:v>梁版</x:v>
      </x:c>
      <x:c r="D134" s="40" t="str">
        <x:v>樑 筋</x:v>
      </x:c>
      <x:c r="E134" s="41" t="n">
        <x:v>15</x:v>
      </x:c>
      <x:c r="F134" s="40" t="str">
        <x:v>左欄</x:v>
      </x:c>
      <x:c r="G134" s="38" t="n">
        <x:v>8</x:v>
      </x:c>
      <x:c r="H134" s="37" t="n">
        <x:v>290</x:v>
      </x:c>
      <x:c r="I134" s="37" t="n">
        <x:v>9</x:v>
      </x:c>
      <x:c r="J134" s="37" t="n">
        <x:v>0</x:v>
      </x:c>
      <x:c r="K134" s="36" t="n">
        <x:v>260</x:v>
      </x:c>
      <x:c r="L134" s="37" t="n">
        <x:v>30</x:v>
      </x:c>
      <x:c r="M134" s="42" t="n">
        <x:f>IF(G134="","",INDEX('規格與範圍'!$B$14:$B$23,MATCH(G134,'規格與範圍'!$A$14:$A$23,0)))</x:f>
        <x:v>3.98</x:v>
      </x:c>
      <x:c r="N134" s="42" t="n">
        <x:f>IF(OR(H134="",I134="",M134=""),"",H134*I134*M134/100)</x:f>
        <x:v>103.87799999999999</x:v>
      </x:c>
      <x:c r="O134" s="36" t="str">
        <x:v>友愛街 3F梁版往上 鋼筋料單 114.08.28.XLS｜工作表 03｜原列 15｜左欄</x:v>
      </x:c>
    </x:row>
    <x:row r="135" ht="15" hidden="0" customHeight="1">
      <x:c r="A135" s="40" t="str">
        <x:v>03</x:v>
      </x:c>
      <x:c r="B135" s="40" t="str">
        <x:v>4F</x:v>
      </x:c>
      <x:c r="C135" s="40" t="str">
        <x:v>梁版</x:v>
      </x:c>
      <x:c r="D135" s="40" t="str">
        <x:v>樑 筋</x:v>
      </x:c>
      <x:c r="E135" s="41" t="n">
        <x:v>16</x:v>
      </x:c>
      <x:c r="F135" s="40" t="str">
        <x:v>左欄</x:v>
      </x:c>
      <x:c r="G135" s="38" t="n">
        <x:v>8</x:v>
      </x:c>
      <x:c r="H135" s="37" t="n">
        <x:v>850</x:v>
      </x:c>
      <x:c r="I135" s="37" t="n">
        <x:v>6</x:v>
      </x:c>
      <x:c r="J135" s="37" t="n">
        <x:v>0</x:v>
      </x:c>
      <x:c r="K135" s="36" t="n">
        <x:v>850</x:v>
      </x:c>
      <x:c r="L135" s="37" t="n">
        <x:v>0</x:v>
      </x:c>
      <x:c r="M135" s="42" t="n">
        <x:f>IF(G135="","",INDEX('規格與範圍'!$B$14:$B$23,MATCH(G135,'規格與範圍'!$A$14:$A$23,0)))</x:f>
        <x:v>3.98</x:v>
      </x:c>
      <x:c r="N135" s="42" t="n">
        <x:f>IF(OR(H135="",I135="",M135=""),"",H135*I135*M135/100)</x:f>
        <x:v>202.98</x:v>
      </x:c>
      <x:c r="O135" s="36" t="str">
        <x:v>友愛街 3F梁版往上 鋼筋料單 114.08.28.XLS｜工作表 03｜原列 16｜左欄</x:v>
      </x:c>
    </x:row>
    <x:row r="136" ht="15" hidden="0" customHeight="1">
      <x:c r="A136" s="40" t="str">
        <x:v>03</x:v>
      </x:c>
      <x:c r="B136" s="40" t="str">
        <x:v>4F</x:v>
      </x:c>
      <x:c r="C136" s="40" t="str">
        <x:v>梁版</x:v>
      </x:c>
      <x:c r="D136" s="40" t="str">
        <x:v>樑 筋</x:v>
      </x:c>
      <x:c r="E136" s="41" t="n">
        <x:v>17</x:v>
      </x:c>
      <x:c r="F136" s="40" t="str">
        <x:v>左欄</x:v>
      </x:c>
      <x:c r="G136" s="38" t="n">
        <x:v>8</x:v>
      </x:c>
      <x:c r="H136" s="37" t="n">
        <x:v>450</x:v>
      </x:c>
      <x:c r="I136" s="37" t="n">
        <x:v>3</x:v>
      </x:c>
      <x:c r="J136" s="37" t="n">
        <x:v>0</x:v>
      </x:c>
      <x:c r="K136" s="36" t="n">
        <x:v>450</x:v>
      </x:c>
      <x:c r="L136" s="37" t="n">
        <x:v>0</x:v>
      </x:c>
      <x:c r="M136" s="42" t="n">
        <x:f>IF(G136="","",INDEX('規格與範圍'!$B$14:$B$23,MATCH(G136,'規格與範圍'!$A$14:$A$23,0)))</x:f>
        <x:v>3.98</x:v>
      </x:c>
      <x:c r="N136" s="42" t="n">
        <x:f>IF(OR(H136="",I136="",M136=""),"",H136*I136*M136/100)</x:f>
        <x:v>53.73</x:v>
      </x:c>
      <x:c r="O136" s="36" t="str">
        <x:v>友愛街 3F梁版往上 鋼筋料單 114.08.28.XLS｜工作表 03｜原列 17｜左欄</x:v>
      </x:c>
    </x:row>
    <x:row r="137" ht="15" hidden="0" customHeight="1">
      <x:c r="A137" s="40" t="str">
        <x:v>03</x:v>
      </x:c>
      <x:c r="B137" s="40" t="str">
        <x:v>4F</x:v>
      </x:c>
      <x:c r="C137" s="40" t="str">
        <x:v>梁版</x:v>
      </x:c>
      <x:c r="D137" s="40" t="str">
        <x:v>樑 筋</x:v>
      </x:c>
      <x:c r="E137" s="41" t="n">
        <x:v>19</x:v>
      </x:c>
      <x:c r="F137" s="40" t="str">
        <x:v>左欄</x:v>
      </x:c>
      <x:c r="G137" s="38" t="n">
        <x:v>6</x:v>
      </x:c>
      <x:c r="H137" s="37" t="n">
        <x:v>750</x:v>
      </x:c>
      <x:c r="I137" s="37" t="n">
        <x:v>3</x:v>
      </x:c>
      <x:c r="J137" s="37" t="n">
        <x:v>30</x:v>
      </x:c>
      <x:c r="K137" s="36" t="n">
        <x:v>690</x:v>
      </x:c>
      <x:c r="L137" s="37" t="n">
        <x:v>30</x:v>
      </x:c>
      <x:c r="M137" s="42" t="n">
        <x:f>IF(G137="","",INDEX('規格與範圍'!$B$14:$B$23,MATCH(G137,'規格與範圍'!$A$14:$A$23,0)))</x:f>
        <x:v>2.25</x:v>
      </x:c>
      <x:c r="N137" s="42" t="n">
        <x:f>IF(OR(H137="",I137="",M137=""),"",H137*I137*M137/100)</x:f>
        <x:v>50.625</x:v>
      </x:c>
      <x:c r="O137" s="36" t="str">
        <x:v>友愛街 3F梁版往上 鋼筋料單 114.08.28.XLS｜工作表 03｜原列 19｜左欄</x:v>
      </x:c>
    </x:row>
    <x:row r="138" ht="15" hidden="0" customHeight="1">
      <x:c r="A138" s="40" t="str">
        <x:v>03</x:v>
      </x:c>
      <x:c r="B138" s="40" t="str">
        <x:v>4F</x:v>
      </x:c>
      <x:c r="C138" s="40" t="str">
        <x:v>梁版</x:v>
      </x:c>
      <x:c r="D138" s="40" t="str">
        <x:v>樑 筋</x:v>
      </x:c>
      <x:c r="E138" s="41" t="n">
        <x:v>20</x:v>
      </x:c>
      <x:c r="F138" s="40" t="str">
        <x:v>左欄</x:v>
      </x:c>
      <x:c r="G138" s="38" t="n">
        <x:v>6</x:v>
      </x:c>
      <x:c r="H138" s="37" t="n">
        <x:v>720</x:v>
      </x:c>
      <x:c r="I138" s="37" t="n">
        <x:v>6</x:v>
      </x:c>
      <x:c r="J138" s="37" t="n">
        <x:v>30</x:v>
      </x:c>
      <x:c r="K138" s="36" t="n">
        <x:v>660</x:v>
      </x:c>
      <x:c r="L138" s="37" t="n">
        <x:v>30</x:v>
      </x:c>
      <x:c r="M138" s="42" t="n">
        <x:f>IF(G138="","",INDEX('規格與範圍'!$B$14:$B$23,MATCH(G138,'規格與範圍'!$A$14:$A$23,0)))</x:f>
        <x:v>2.25</x:v>
      </x:c>
      <x:c r="N138" s="42" t="n">
        <x:f>IF(OR(H138="",I138="",M138=""),"",H138*I138*M138/100)</x:f>
        <x:v>97.2</x:v>
      </x:c>
      <x:c r="O138" s="36" t="str">
        <x:v>友愛街 3F梁版往上 鋼筋料單 114.08.28.XLS｜工作表 03｜原列 20｜左欄</x:v>
      </x:c>
    </x:row>
    <x:row r="139" ht="15" hidden="0" customHeight="1">
      <x:c r="A139" s="40" t="str">
        <x:v>03</x:v>
      </x:c>
      <x:c r="B139" s="40" t="str">
        <x:v>4F</x:v>
      </x:c>
      <x:c r="C139" s="40" t="str">
        <x:v>梁版</x:v>
      </x:c>
      <x:c r="D139" s="40" t="str">
        <x:v>樑 筋</x:v>
      </x:c>
      <x:c r="E139" s="41" t="n">
        <x:v>21</x:v>
      </x:c>
      <x:c r="F139" s="40" t="str">
        <x:v>左欄</x:v>
      </x:c>
      <x:c r="G139" s="38" t="n">
        <x:v>6</x:v>
      </x:c>
      <x:c r="H139" s="37" t="n">
        <x:v>530</x:v>
      </x:c>
      <x:c r="I139" s="37" t="n">
        <x:v>2</x:v>
      </x:c>
      <x:c r="J139" s="37" t="n">
        <x:v>30</x:v>
      </x:c>
      <x:c r="K139" s="36" t="n">
        <x:v>470</x:v>
      </x:c>
      <x:c r="L139" s="37" t="n">
        <x:v>30</x:v>
      </x:c>
      <x:c r="M139" s="42" t="n">
        <x:f>IF(G139="","",INDEX('規格與範圍'!$B$14:$B$23,MATCH(G139,'規格與範圍'!$A$14:$A$23,0)))</x:f>
        <x:v>2.25</x:v>
      </x:c>
      <x:c r="N139" s="42" t="n">
        <x:f>IF(OR(H139="",I139="",M139=""),"",H139*I139*M139/100)</x:f>
        <x:v>23.85</x:v>
      </x:c>
      <x:c r="O139" s="36" t="str">
        <x:v>友愛街 3F梁版往上 鋼筋料單 114.08.28.XLS｜工作表 03｜原列 21｜左欄</x:v>
      </x:c>
    </x:row>
    <x:row r="140" ht="15" hidden="0" customHeight="1">
      <x:c r="A140" s="40" t="str">
        <x:v>03</x:v>
      </x:c>
      <x:c r="B140" s="40" t="str">
        <x:v>4F</x:v>
      </x:c>
      <x:c r="C140" s="40" t="str">
        <x:v>梁版</x:v>
      </x:c>
      <x:c r="D140" s="40" t="str">
        <x:v>樑 筋</x:v>
      </x:c>
      <x:c r="E140" s="41" t="n">
        <x:v>22</x:v>
      </x:c>
      <x:c r="F140" s="40" t="str">
        <x:v>左欄</x:v>
      </x:c>
      <x:c r="G140" s="38" t="n">
        <x:v>6</x:v>
      </x:c>
      <x:c r="H140" s="37" t="n">
        <x:v>360</x:v>
      </x:c>
      <x:c r="I140" s="37" t="n">
        <x:v>2</x:v>
      </x:c>
      <x:c r="J140" s="37" t="n">
        <x:v>30</x:v>
      </x:c>
      <x:c r="K140" s="36" t="n">
        <x:v>300</x:v>
      </x:c>
      <x:c r="L140" s="37" t="n">
        <x:v>30</x:v>
      </x:c>
      <x:c r="M140" s="42" t="n">
        <x:f>IF(G140="","",INDEX('規格與範圍'!$B$14:$B$23,MATCH(G140,'規格與範圍'!$A$14:$A$23,0)))</x:f>
        <x:v>2.25</x:v>
      </x:c>
      <x:c r="N140" s="42" t="n">
        <x:f>IF(OR(H140="",I140="",M140=""),"",H140*I140*M140/100)</x:f>
        <x:v>16.2</x:v>
      </x:c>
      <x:c r="O140" s="36" t="str">
        <x:v>友愛街 3F梁版往上 鋼筋料單 114.08.28.XLS｜工作表 03｜原列 22｜左欄</x:v>
      </x:c>
    </x:row>
    <x:row r="141" ht="15" hidden="0" customHeight="1">
      <x:c r="A141" s="40" t="str">
        <x:v>03</x:v>
      </x:c>
      <x:c r="B141" s="40" t="str">
        <x:v>4F</x:v>
      </x:c>
      <x:c r="C141" s="40" t="str">
        <x:v>梁版</x:v>
      </x:c>
      <x:c r="D141" s="40" t="str">
        <x:v>樑 筋</x:v>
      </x:c>
      <x:c r="E141" s="41" t="n">
        <x:v>23</x:v>
      </x:c>
      <x:c r="F141" s="40" t="str">
        <x:v>左欄</x:v>
      </x:c>
      <x:c r="G141" s="38" t="n">
        <x:v>6</x:v>
      </x:c>
      <x:c r="H141" s="37" t="n">
        <x:v>320</x:v>
      </x:c>
      <x:c r="I141" s="37" t="n">
        <x:v>2</x:v>
      </x:c>
      <x:c r="J141" s="37" t="n">
        <x:v>30</x:v>
      </x:c>
      <x:c r="K141" s="36" t="n">
        <x:v>260</x:v>
      </x:c>
      <x:c r="L141" s="37" t="n">
        <x:v>30</x:v>
      </x:c>
      <x:c r="M141" s="42" t="n">
        <x:f>IF(G141="","",INDEX('規格與範圍'!$B$14:$B$23,MATCH(G141,'規格與範圍'!$A$14:$A$23,0)))</x:f>
        <x:v>2.25</x:v>
      </x:c>
      <x:c r="N141" s="42" t="n">
        <x:f>IF(OR(H141="",I141="",M141=""),"",H141*I141*M141/100)</x:f>
        <x:v>14.4</x:v>
      </x:c>
      <x:c r="O141" s="36" t="str">
        <x:v>友愛街 3F梁版往上 鋼筋料單 114.08.28.XLS｜工作表 03｜原列 23｜左欄</x:v>
      </x:c>
    </x:row>
    <x:row r="142" ht="15" hidden="0" customHeight="1">
      <x:c r="A142" s="40" t="str">
        <x:v>03</x:v>
      </x:c>
      <x:c r="B142" s="40" t="str">
        <x:v>4F</x:v>
      </x:c>
      <x:c r="C142" s="40" t="str">
        <x:v>梁版</x:v>
      </x:c>
      <x:c r="D142" s="40" t="str">
        <x:v>樑 筋</x:v>
      </x:c>
      <x:c r="E142" s="41" t="n">
        <x:v>24</x:v>
      </x:c>
      <x:c r="F142" s="40" t="str">
        <x:v>左欄</x:v>
      </x:c>
      <x:c r="G142" s="38" t="n">
        <x:v>6</x:v>
      </x:c>
      <x:c r="H142" s="37" t="n">
        <x:v>600</x:v>
      </x:c>
      <x:c r="I142" s="37" t="n">
        <x:v>4</x:v>
      </x:c>
      <x:c r="J142" s="37" t="n">
        <x:v>0</x:v>
      </x:c>
      <x:c r="K142" s="36" t="n">
        <x:v>570</x:v>
      </x:c>
      <x:c r="L142" s="37" t="n">
        <x:v>30</x:v>
      </x:c>
      <x:c r="M142" s="42" t="n">
        <x:f>IF(G142="","",INDEX('規格與範圍'!$B$14:$B$23,MATCH(G142,'規格與範圍'!$A$14:$A$23,0)))</x:f>
        <x:v>2.25</x:v>
      </x:c>
      <x:c r="N142" s="42" t="n">
        <x:f>IF(OR(H142="",I142="",M142=""),"",H142*I142*M142/100)</x:f>
        <x:v>54</x:v>
      </x:c>
      <x:c r="O142" s="36" t="str">
        <x:v>友愛街 3F梁版往上 鋼筋料單 114.08.28.XLS｜工作表 03｜原列 24｜左欄</x:v>
      </x:c>
    </x:row>
    <x:row r="143" ht="15" hidden="0" customHeight="1">
      <x:c r="A143" s="40" t="str">
        <x:v>03</x:v>
      </x:c>
      <x:c r="B143" s="40" t="str">
        <x:v>4F</x:v>
      </x:c>
      <x:c r="C143" s="40" t="str">
        <x:v>梁版</x:v>
      </x:c>
      <x:c r="D143" s="40" t="str">
        <x:v>樑 筋</x:v>
      </x:c>
      <x:c r="E143" s="41" t="n">
        <x:v>25</x:v>
      </x:c>
      <x:c r="F143" s="40" t="str">
        <x:v>左欄</x:v>
      </x:c>
      <x:c r="G143" s="38" t="n">
        <x:v>6</x:v>
      </x:c>
      <x:c r="H143" s="37" t="n">
        <x:v>400</x:v>
      </x:c>
      <x:c r="I143" s="37" t="n">
        <x:v>2</x:v>
      </x:c>
      <x:c r="J143" s="37" t="n">
        <x:v>0</x:v>
      </x:c>
      <x:c r="K143" s="36" t="n">
        <x:v>370</x:v>
      </x:c>
      <x:c r="L143" s="37" t="n">
        <x:v>30</x:v>
      </x:c>
      <x:c r="M143" s="42" t="n">
        <x:f>IF(G143="","",INDEX('規格與範圍'!$B$14:$B$23,MATCH(G143,'規格與範圍'!$A$14:$A$23,0)))</x:f>
        <x:v>2.25</x:v>
      </x:c>
      <x:c r="N143" s="42" t="n">
        <x:f>IF(OR(H143="",I143="",M143=""),"",H143*I143*M143/100)</x:f>
        <x:v>18</x:v>
      </x:c>
      <x:c r="O143" s="36" t="str">
        <x:v>友愛街 3F梁版往上 鋼筋料單 114.08.28.XLS｜工作表 03｜原列 25｜左欄</x:v>
      </x:c>
    </x:row>
    <x:row r="144" ht="15" hidden="0" customHeight="1">
      <x:c r="A144" s="40" t="str">
        <x:v>03</x:v>
      </x:c>
      <x:c r="B144" s="40" t="str">
        <x:v>4F</x:v>
      </x:c>
      <x:c r="C144" s="40" t="str">
        <x:v>梁版</x:v>
      </x:c>
      <x:c r="D144" s="40" t="str">
        <x:v>樑 筋</x:v>
      </x:c>
      <x:c r="E144" s="41" t="n">
        <x:v>27</x:v>
      </x:c>
      <x:c r="F144" s="40" t="str">
        <x:v>左欄</x:v>
      </x:c>
      <x:c r="G144" s="38" t="n">
        <x:v>6</x:v>
      </x:c>
      <x:c r="H144" s="37" t="n">
        <x:v>300</x:v>
      </x:c>
      <x:c r="I144" s="37" t="n">
        <x:v>18</x:v>
      </x:c>
      <x:c r="J144" s="37" t="n">
        <x:v>0</x:v>
      </x:c>
      <x:c r="K144" s="36" t="n">
        <x:v>270</x:v>
      </x:c>
      <x:c r="L144" s="37" t="n">
        <x:v>30</x:v>
      </x:c>
      <x:c r="M144" s="42" t="n">
        <x:f>IF(G144="","",INDEX('規格與範圍'!$B$14:$B$23,MATCH(G144,'規格與範圍'!$A$14:$A$23,0)))</x:f>
        <x:v>2.25</x:v>
      </x:c>
      <x:c r="N144" s="42" t="n">
        <x:f>IF(OR(H144="",I144="",M144=""),"",H144*I144*M144/100)</x:f>
        <x:v>121.5</x:v>
      </x:c>
      <x:c r="O144" s="36" t="str">
        <x:v>友愛街 3F梁版往上 鋼筋料單 114.08.28.XLS｜工作表 03｜原列 27｜左欄</x:v>
      </x:c>
    </x:row>
    <x:row r="145" ht="15" hidden="0" customHeight="1">
      <x:c r="A145" s="40" t="str">
        <x:v>03</x:v>
      </x:c>
      <x:c r="B145" s="40" t="str">
        <x:v>4F</x:v>
      </x:c>
      <x:c r="C145" s="40" t="str">
        <x:v>梁版</x:v>
      </x:c>
      <x:c r="D145" s="40" t="str">
        <x:v>樑 筋</x:v>
      </x:c>
      <x:c r="E145" s="41" t="n">
        <x:v>28</x:v>
      </x:c>
      <x:c r="F145" s="40" t="str">
        <x:v>左欄</x:v>
      </x:c>
      <x:c r="G145" s="38" t="n">
        <x:v>6</x:v>
      </x:c>
      <x:c r="H145" s="37" t="n">
        <x:v>250</x:v>
      </x:c>
      <x:c r="I145" s="37" t="n">
        <x:v>8</x:v>
      </x:c>
      <x:c r="J145" s="37" t="n">
        <x:v>0</x:v>
      </x:c>
      <x:c r="K145" s="36" t="n">
        <x:v>220</x:v>
      </x:c>
      <x:c r="L145" s="37" t="n">
        <x:v>30</x:v>
      </x:c>
      <x:c r="M145" s="42" t="n">
        <x:f>IF(G145="","",INDEX('規格與範圍'!$B$14:$B$23,MATCH(G145,'規格與範圍'!$A$14:$A$23,0)))</x:f>
        <x:v>2.25</x:v>
      </x:c>
      <x:c r="N145" s="42" t="n">
        <x:f>IF(OR(H145="",I145="",M145=""),"",H145*I145*M145/100)</x:f>
        <x:v>45</x:v>
      </x:c>
      <x:c r="O145" s="36" t="str">
        <x:v>友愛街 3F梁版往上 鋼筋料單 114.08.28.XLS｜工作表 03｜原列 28｜左欄</x:v>
      </x:c>
    </x:row>
    <x:row r="146" ht="15" hidden="0" customHeight="1">
      <x:c r="A146" s="40" t="str">
        <x:v>03</x:v>
      </x:c>
      <x:c r="B146" s="40" t="str">
        <x:v>4F</x:v>
      </x:c>
      <x:c r="C146" s="40" t="str">
        <x:v>梁版</x:v>
      </x:c>
      <x:c r="D146" s="40" t="str">
        <x:v>樑 筋</x:v>
      </x:c>
      <x:c r="E146" s="41" t="n">
        <x:v>29</x:v>
      </x:c>
      <x:c r="F146" s="40" t="str">
        <x:v>左欄</x:v>
      </x:c>
      <x:c r="G146" s="38" t="n">
        <x:v>6</x:v>
      </x:c>
      <x:c r="H146" s="37" t="n">
        <x:v>200</x:v>
      </x:c>
      <x:c r="I146" s="37" t="n">
        <x:v>4</x:v>
      </x:c>
      <x:c r="J146" s="37" t="n">
        <x:v>0</x:v>
      </x:c>
      <x:c r="K146" s="36" t="n">
        <x:v>170</x:v>
      </x:c>
      <x:c r="L146" s="37" t="n">
        <x:v>30</x:v>
      </x:c>
      <x:c r="M146" s="42" t="n">
        <x:f>IF(G146="","",INDEX('規格與範圍'!$B$14:$B$23,MATCH(G146,'規格與範圍'!$A$14:$A$23,0)))</x:f>
        <x:v>2.25</x:v>
      </x:c>
      <x:c r="N146" s="42" t="n">
        <x:f>IF(OR(H146="",I146="",M146=""),"",H146*I146*M146/100)</x:f>
        <x:v>18</x:v>
      </x:c>
      <x:c r="O146" s="36" t="str">
        <x:v>友愛街 3F梁版往上 鋼筋料單 114.08.28.XLS｜工作表 03｜原列 29｜左欄</x:v>
      </x:c>
    </x:row>
    <x:row r="147" ht="15" hidden="0" customHeight="1">
      <x:c r="A147" s="40" t="str">
        <x:v>03</x:v>
      </x:c>
      <x:c r="B147" s="40" t="str">
        <x:v>4F</x:v>
      </x:c>
      <x:c r="C147" s="40" t="str">
        <x:v>梁版</x:v>
      </x:c>
      <x:c r="D147" s="40" t="str">
        <x:v>樑 筋</x:v>
      </x:c>
      <x:c r="E147" s="41" t="n">
        <x:v>30</x:v>
      </x:c>
      <x:c r="F147" s="40" t="str">
        <x:v>左欄</x:v>
      </x:c>
      <x:c r="G147" s="38" t="n">
        <x:v>6</x:v>
      </x:c>
      <x:c r="H147" s="37" t="n">
        <x:v>400</x:v>
      </x:c>
      <x:c r="I147" s="37" t="n">
        <x:v>12</x:v>
      </x:c>
      <x:c r="J147" s="37"/>
      <x:c r="K147" s="36" t="n">
        <x:v>400</x:v>
      </x:c>
      <x:c r="L147" s="37"/>
      <x:c r="M147" s="42" t="n">
        <x:f>IF(G147="","",INDEX('規格與範圍'!$B$14:$B$23,MATCH(G147,'規格與範圍'!$A$14:$A$23,0)))</x:f>
        <x:v>2.25</x:v>
      </x:c>
      <x:c r="N147" s="42" t="n">
        <x:f>IF(OR(H147="",I147="",M147=""),"",H147*I147*M147/100)</x:f>
        <x:v>108</x:v>
      </x:c>
      <x:c r="O147" s="36" t="str">
        <x:v>友愛街 3F梁版往上 鋼筋料單 114.08.28.XLS｜工作表 03｜原列 30｜左欄</x:v>
      </x:c>
    </x:row>
    <x:row r="148" ht="15" hidden="0" customHeight="1">
      <x:c r="A148" s="40" t="str">
        <x:v>03</x:v>
      </x:c>
      <x:c r="B148" s="40" t="str">
        <x:v>4F</x:v>
      </x:c>
      <x:c r="C148" s="40" t="str">
        <x:v>梁版</x:v>
      </x:c>
      <x:c r="D148" s="40" t="str">
        <x:v>樑 筋</x:v>
      </x:c>
      <x:c r="E148" s="41" t="n">
        <x:v>31</x:v>
      </x:c>
      <x:c r="F148" s="40" t="str">
        <x:v>左欄</x:v>
      </x:c>
      <x:c r="G148" s="38" t="n">
        <x:v>6</x:v>
      </x:c>
      <x:c r="H148" s="37" t="n">
        <x:v>330</x:v>
      </x:c>
      <x:c r="I148" s="37" t="n">
        <x:v>6</x:v>
      </x:c>
      <x:c r="J148" s="37"/>
      <x:c r="K148" s="36" t="n">
        <x:v>300</x:v>
      </x:c>
      <x:c r="L148" s="37" t="n">
        <x:v>30</x:v>
      </x:c>
      <x:c r="M148" s="42" t="n">
        <x:f>IF(G148="","",INDEX('規格與範圍'!$B$14:$B$23,MATCH(G148,'規格與範圍'!$A$14:$A$23,0)))</x:f>
        <x:v>2.25</x:v>
      </x:c>
      <x:c r="N148" s="42" t="n">
        <x:f>IF(OR(H148="",I148="",M148=""),"",H148*I148*M148/100)</x:f>
        <x:v>44.55</x:v>
      </x:c>
      <x:c r="O148" s="36" t="str">
        <x:v>友愛街 3F梁版往上 鋼筋料單 114.08.28.XLS｜工作表 03｜原列 31｜左欄</x:v>
      </x:c>
    </x:row>
    <x:row r="149" ht="15" hidden="0" customHeight="1">
      <x:c r="A149" s="40" t="str">
        <x:v>03</x:v>
      </x:c>
      <x:c r="B149" s="40" t="str">
        <x:v>4F</x:v>
      </x:c>
      <x:c r="C149" s="40" t="str">
        <x:v>梁版</x:v>
      </x:c>
      <x:c r="D149" s="40" t="str">
        <x:v>下 層 版 筋</x:v>
      </x:c>
      <x:c r="E149" s="41" t="n">
        <x:v>33</x:v>
      </x:c>
      <x:c r="F149" s="40" t="str">
        <x:v>左欄</x:v>
      </x:c>
      <x:c r="G149" s="38" t="n">
        <x:v>4</x:v>
      </x:c>
      <x:c r="H149" s="37" t="n">
        <x:v>350</x:v>
      </x:c>
      <x:c r="I149" s="37" t="n">
        <x:v>43</x:v>
      </x:c>
      <x:c r="J149" s="37"/>
      <x:c r="K149" s="36" t="n">
        <x:v>350</x:v>
      </x:c>
      <x:c r="L149" s="37"/>
      <x:c r="M149" s="42" t="n">
        <x:f>IF(G149="","",INDEX('規格與範圍'!$B$14:$B$23,MATCH(G149,'規格與範圍'!$A$14:$A$23,0)))</x:f>
        <x:v>0.994</x:v>
      </x:c>
      <x:c r="N149" s="42" t="n">
        <x:f>IF(OR(H149="",I149="",M149=""),"",H149*I149*M149/100)</x:f>
        <x:v>149.597</x:v>
      </x:c>
      <x:c r="O149" s="36" t="str">
        <x:v>友愛街 3F梁版往上 鋼筋料單 114.08.28.XLS｜工作表 03｜原列 33｜左欄</x:v>
      </x:c>
    </x:row>
    <x:row r="150" ht="15" hidden="0" customHeight="1">
      <x:c r="A150" s="40" t="str">
        <x:v>03</x:v>
      </x:c>
      <x:c r="B150" s="40" t="str">
        <x:v>4F</x:v>
      </x:c>
      <x:c r="C150" s="40" t="str">
        <x:v>梁版</x:v>
      </x:c>
      <x:c r="D150" s="40" t="str">
        <x:v>下 層 版 筋</x:v>
      </x:c>
      <x:c r="E150" s="41" t="n">
        <x:v>35</x:v>
      </x:c>
      <x:c r="F150" s="40" t="str">
        <x:v>左欄</x:v>
      </x:c>
      <x:c r="G150" s="38" t="n">
        <x:v>3</x:v>
      </x:c>
      <x:c r="H150" s="37" t="n">
        <x:v>450</x:v>
      </x:c>
      <x:c r="I150" s="37" t="n">
        <x:v>10</x:v>
      </x:c>
      <x:c r="J150" s="37"/>
      <x:c r="K150" s="36" t="n">
        <x:v>435</x:v>
      </x:c>
      <x:c r="L150" s="37" t="n">
        <x:v>15</x:v>
      </x:c>
      <x:c r="M150" s="42" t="n">
        <x:f>IF(G150="","",INDEX('規格與範圍'!$B$14:$B$23,MATCH(G150,'規格與範圍'!$A$14:$A$23,0)))</x:f>
        <x:v>0.559</x:v>
      </x:c>
      <x:c r="N150" s="42" t="n">
        <x:f>IF(OR(H150="",I150="",M150=""),"",H150*I150*M150/100)</x:f>
        <x:v>25.155000000000005</x:v>
      </x:c>
      <x:c r="O150" s="36" t="str">
        <x:v>友愛街 3F梁版往上 鋼筋料單 114.08.28.XLS｜工作表 03｜原列 35｜左欄</x:v>
      </x:c>
    </x:row>
    <x:row r="151" ht="15" hidden="0" customHeight="1">
      <x:c r="A151" s="40" t="str">
        <x:v>03</x:v>
      </x:c>
      <x:c r="B151" s="40" t="str">
        <x:v>4F</x:v>
      </x:c>
      <x:c r="C151" s="40" t="str">
        <x:v>梁版</x:v>
      </x:c>
      <x:c r="D151" s="40" t="str">
        <x:v>下 層 版 筋</x:v>
      </x:c>
      <x:c r="E151" s="41" t="n">
        <x:v>36</x:v>
      </x:c>
      <x:c r="F151" s="40" t="str">
        <x:v>左欄</x:v>
      </x:c>
      <x:c r="G151" s="38" t="n">
        <x:v>3</x:v>
      </x:c>
      <x:c r="H151" s="37" t="n">
        <x:v>400</x:v>
      </x:c>
      <x:c r="I151" s="37" t="n">
        <x:v>6</x:v>
      </x:c>
      <x:c r="J151" s="37"/>
      <x:c r="K151" s="36" t="n">
        <x:v>385</x:v>
      </x:c>
      <x:c r="L151" s="37" t="n">
        <x:v>15</x:v>
      </x:c>
      <x:c r="M151" s="42" t="n">
        <x:f>IF(G151="","",INDEX('規格與範圍'!$B$14:$B$23,MATCH(G151,'規格與範圍'!$A$14:$A$23,0)))</x:f>
        <x:v>0.559</x:v>
      </x:c>
      <x:c r="N151" s="42" t="n">
        <x:f>IF(OR(H151="",I151="",M151=""),"",H151*I151*M151/100)</x:f>
        <x:v>13.416000000000002</x:v>
      </x:c>
      <x:c r="O151" s="36" t="str">
        <x:v>友愛街 3F梁版往上 鋼筋料單 114.08.28.XLS｜工作表 03｜原列 36｜左欄</x:v>
      </x:c>
    </x:row>
    <x:row r="152" ht="15" hidden="0" customHeight="1">
      <x:c r="A152" s="40" t="str">
        <x:v>03</x:v>
      </x:c>
      <x:c r="B152" s="40" t="str">
        <x:v>4F</x:v>
      </x:c>
      <x:c r="C152" s="40" t="str">
        <x:v>梁版</x:v>
      </x:c>
      <x:c r="D152" s="40" t="str">
        <x:v>下 層 版 筋</x:v>
      </x:c>
      <x:c r="E152" s="41" t="n">
        <x:v>37</x:v>
      </x:c>
      <x:c r="F152" s="40" t="str">
        <x:v>左欄</x:v>
      </x:c>
      <x:c r="G152" s="38" t="n">
        <x:v>3</x:v>
      </x:c>
      <x:c r="H152" s="37" t="n">
        <x:v>350</x:v>
      </x:c>
      <x:c r="I152" s="37" t="n">
        <x:v>51</x:v>
      </x:c>
      <x:c r="J152" s="37"/>
      <x:c r="K152" s="36" t="n">
        <x:v>335</x:v>
      </x:c>
      <x:c r="L152" s="37" t="n">
        <x:v>15</x:v>
      </x:c>
      <x:c r="M152" s="42" t="n">
        <x:f>IF(G152="","",INDEX('規格與範圍'!$B$14:$B$23,MATCH(G152,'規格與範圍'!$A$14:$A$23,0)))</x:f>
        <x:v>0.559</x:v>
      </x:c>
      <x:c r="N152" s="42" t="n">
        <x:f>IF(OR(H152="",I152="",M152=""),"",H152*I152*M152/100)</x:f>
        <x:v>99.78150000000001</x:v>
      </x:c>
      <x:c r="O152" s="36" t="str">
        <x:v>友愛街 3F梁版往上 鋼筋料單 114.08.28.XLS｜工作表 03｜原列 37｜左欄</x:v>
      </x:c>
    </x:row>
    <x:row r="153" ht="15" hidden="0" customHeight="1">
      <x:c r="A153" s="40" t="str">
        <x:v>03</x:v>
      </x:c>
      <x:c r="B153" s="40" t="str">
        <x:v>4F</x:v>
      </x:c>
      <x:c r="C153" s="40" t="str">
        <x:v>梁版</x:v>
      </x:c>
      <x:c r="D153" s="40" t="str">
        <x:v>下 層 版 筋</x:v>
      </x:c>
      <x:c r="E153" s="41" t="n">
        <x:v>38</x:v>
      </x:c>
      <x:c r="F153" s="40" t="str">
        <x:v>左欄</x:v>
      </x:c>
      <x:c r="G153" s="38" t="n">
        <x:v>3</x:v>
      </x:c>
      <x:c r="H153" s="37" t="n">
        <x:v>315</x:v>
      </x:c>
      <x:c r="I153" s="37" t="n">
        <x:v>10</x:v>
      </x:c>
      <x:c r="J153" s="37"/>
      <x:c r="K153" s="36" t="n">
        <x:v>300</x:v>
      </x:c>
      <x:c r="L153" s="37" t="n">
        <x:v>15</x:v>
      </x:c>
      <x:c r="M153" s="42" t="n">
        <x:f>IF(G153="","",INDEX('規格與範圍'!$B$14:$B$23,MATCH(G153,'規格與範圍'!$A$14:$A$23,0)))</x:f>
        <x:v>0.559</x:v>
      </x:c>
      <x:c r="N153" s="42" t="n">
        <x:f>IF(OR(H153="",I153="",M153=""),"",H153*I153*M153/100)</x:f>
        <x:v>17.608500000000003</x:v>
      </x:c>
      <x:c r="O153" s="36" t="str">
        <x:v>友愛街 3F梁版往上 鋼筋料單 114.08.28.XLS｜工作表 03｜原列 38｜左欄</x:v>
      </x:c>
    </x:row>
    <x:row r="154" ht="15" hidden="0" customHeight="1">
      <x:c r="A154" s="40" t="str">
        <x:v>03</x:v>
      </x:c>
      <x:c r="B154" s="40" t="str">
        <x:v>4F</x:v>
      </x:c>
      <x:c r="C154" s="40" t="str">
        <x:v>梁版</x:v>
      </x:c>
      <x:c r="D154" s="40" t="str">
        <x:v>下 層 版 筋</x:v>
      </x:c>
      <x:c r="E154" s="41" t="n">
        <x:v>39</x:v>
      </x:c>
      <x:c r="F154" s="40" t="str">
        <x:v>左欄</x:v>
      </x:c>
      <x:c r="G154" s="38" t="n">
        <x:v>3</x:v>
      </x:c>
      <x:c r="H154" s="37" t="n">
        <x:v>250</x:v>
      </x:c>
      <x:c r="I154" s="37" t="n">
        <x:v>22</x:v>
      </x:c>
      <x:c r="J154" s="37"/>
      <x:c r="K154" s="36" t="n">
        <x:v>235</x:v>
      </x:c>
      <x:c r="L154" s="37" t="n">
        <x:v>15</x:v>
      </x:c>
      <x:c r="M154" s="42" t="n">
        <x:f>IF(G154="","",INDEX('規格與範圍'!$B$14:$B$23,MATCH(G154,'規格與範圍'!$A$14:$A$23,0)))</x:f>
        <x:v>0.559</x:v>
      </x:c>
      <x:c r="N154" s="42" t="n">
        <x:f>IF(OR(H154="",I154="",M154=""),"",H154*I154*M154/100)</x:f>
        <x:v>30.745000000000005</x:v>
      </x:c>
      <x:c r="O154" s="36" t="str">
        <x:v>友愛街 3F梁版往上 鋼筋料單 114.08.28.XLS｜工作表 03｜原列 39｜左欄</x:v>
      </x:c>
    </x:row>
    <x:row r="155" ht="15" hidden="0" customHeight="1">
      <x:c r="A155" s="40" t="str">
        <x:v>03</x:v>
      </x:c>
      <x:c r="B155" s="40" t="str">
        <x:v>4F</x:v>
      </x:c>
      <x:c r="C155" s="40" t="str">
        <x:v>梁版</x:v>
      </x:c>
      <x:c r="D155" s="40" t="str">
        <x:v>下 層 版 筋</x:v>
      </x:c>
      <x:c r="E155" s="41" t="n">
        <x:v>40</x:v>
      </x:c>
      <x:c r="F155" s="40" t="str">
        <x:v>左欄</x:v>
      </x:c>
      <x:c r="G155" s="38" t="n">
        <x:v>3</x:v>
      </x:c>
      <x:c r="H155" s="37" t="n">
        <x:v>200</x:v>
      </x:c>
      <x:c r="I155" s="37" t="n">
        <x:v>57</x:v>
      </x:c>
      <x:c r="J155" s="37"/>
      <x:c r="K155" s="36" t="n">
        <x:v>185</x:v>
      </x:c>
      <x:c r="L155" s="37" t="n">
        <x:v>15</x:v>
      </x:c>
      <x:c r="M155" s="42" t="n">
        <x:f>IF(G155="","",INDEX('規格與範圍'!$B$14:$B$23,MATCH(G155,'規格與範圍'!$A$14:$A$23,0)))</x:f>
        <x:v>0.559</x:v>
      </x:c>
      <x:c r="N155" s="42" t="n">
        <x:f>IF(OR(H155="",I155="",M155=""),"",H155*I155*M155/100)</x:f>
        <x:v>63.726000000000006</x:v>
      </x:c>
      <x:c r="O155" s="36" t="str">
        <x:v>友愛街 3F梁版往上 鋼筋料單 114.08.28.XLS｜工作表 03｜原列 40｜左欄</x:v>
      </x:c>
    </x:row>
    <x:row r="156" ht="15" hidden="0" customHeight="1">
      <x:c r="A156" s="40" t="str">
        <x:v>03</x:v>
      </x:c>
      <x:c r="B156" s="40" t="str">
        <x:v>4F</x:v>
      </x:c>
      <x:c r="C156" s="40" t="str">
        <x:v>梁版</x:v>
      </x:c>
      <x:c r="D156" s="40" t="str">
        <x:v>下 層 版 筋</x:v>
      </x:c>
      <x:c r="E156" s="41" t="n">
        <x:v>41</x:v>
      </x:c>
      <x:c r="F156" s="40" t="str">
        <x:v>左欄</x:v>
      </x:c>
      <x:c r="G156" s="38" t="n">
        <x:v>3</x:v>
      </x:c>
      <x:c r="H156" s="37" t="n">
        <x:v>700</x:v>
      </x:c>
      <x:c r="I156" s="37" t="n">
        <x:v>92</x:v>
      </x:c>
      <x:c r="J156" s="37"/>
      <x:c r="K156" s="36" t="n">
        <x:v>700</x:v>
      </x:c>
      <x:c r="L156" s="37"/>
      <x:c r="M156" s="42" t="n">
        <x:f>IF(G156="","",INDEX('規格與範圍'!$B$14:$B$23,MATCH(G156,'規格與範圍'!$A$14:$A$23,0)))</x:f>
        <x:v>0.559</x:v>
      </x:c>
      <x:c r="N156" s="42" t="n">
        <x:f>IF(OR(H156="",I156="",M156=""),"",H156*I156*M156/100)</x:f>
        <x:v>359.99600000000004</x:v>
      </x:c>
      <x:c r="O156" s="36" t="str">
        <x:v>友愛街 3F梁版往上 鋼筋料單 114.08.28.XLS｜工作表 03｜原列 41｜左欄</x:v>
      </x:c>
    </x:row>
    <x:row r="157" ht="15" hidden="0" customHeight="1">
      <x:c r="A157" s="40" t="str">
        <x:v>03</x:v>
      </x:c>
      <x:c r="B157" s="40" t="str">
        <x:v>4F</x:v>
      </x:c>
      <x:c r="C157" s="40" t="str">
        <x:v>梁版</x:v>
      </x:c>
      <x:c r="D157" s="40" t="str">
        <x:v>下 層 版 筋</x:v>
      </x:c>
      <x:c r="E157" s="41" t="n">
        <x:v>42</x:v>
      </x:c>
      <x:c r="F157" s="40" t="str">
        <x:v>左欄</x:v>
      </x:c>
      <x:c r="G157" s="38" t="n">
        <x:v>3</x:v>
      </x:c>
      <x:c r="H157" s="37" t="n">
        <x:v>500</x:v>
      </x:c>
      <x:c r="I157" s="37" t="n">
        <x:v>99</x:v>
      </x:c>
      <x:c r="J157" s="37"/>
      <x:c r="K157" s="36" t="n">
        <x:v>500</x:v>
      </x:c>
      <x:c r="L157" s="37"/>
      <x:c r="M157" s="42" t="n">
        <x:f>IF(G157="","",INDEX('規格與範圍'!$B$14:$B$23,MATCH(G157,'規格與範圍'!$A$14:$A$23,0)))</x:f>
        <x:v>0.559</x:v>
      </x:c>
      <x:c r="N157" s="42" t="n">
        <x:f>IF(OR(H157="",I157="",M157=""),"",H157*I157*M157/100)</x:f>
        <x:v>276.70500000000004</x:v>
      </x:c>
      <x:c r="O157" s="36" t="str">
        <x:v>友愛街 3F梁版往上 鋼筋料單 114.08.28.XLS｜工作表 03｜原列 42｜左欄</x:v>
      </x:c>
    </x:row>
    <x:row r="158" ht="15" hidden="0" customHeight="1">
      <x:c r="A158" s="40" t="str">
        <x:v>03</x:v>
      </x:c>
      <x:c r="B158" s="40" t="str">
        <x:v>4F</x:v>
      </x:c>
      <x:c r="C158" s="40" t="str">
        <x:v>梁版</x:v>
      </x:c>
      <x:c r="D158" s="40" t="str">
        <x:v>下 層 版 筋</x:v>
      </x:c>
      <x:c r="E158" s="41" t="n">
        <x:v>43</x:v>
      </x:c>
      <x:c r="F158" s="40" t="str">
        <x:v>左欄</x:v>
      </x:c>
      <x:c r="G158" s="38" t="n">
        <x:v>3</x:v>
      </x:c>
      <x:c r="H158" s="37" t="n">
        <x:v>350</x:v>
      </x:c>
      <x:c r="I158" s="37" t="n">
        <x:v>96</x:v>
      </x:c>
      <x:c r="J158" s="37"/>
      <x:c r="K158" s="36" t="n">
        <x:v>350</x:v>
      </x:c>
      <x:c r="L158" s="37"/>
      <x:c r="M158" s="42" t="n">
        <x:f>IF(G158="","",INDEX('規格與範圍'!$B$14:$B$23,MATCH(G158,'規格與範圍'!$A$14:$A$23,0)))</x:f>
        <x:v>0.559</x:v>
      </x:c>
      <x:c r="N158" s="42" t="n">
        <x:f>IF(OR(H158="",I158="",M158=""),"",H158*I158*M158/100)</x:f>
        <x:v>187.824</x:v>
      </x:c>
      <x:c r="O158" s="36" t="str">
        <x:v>友愛街 3F梁版往上 鋼筋料單 114.08.28.XLS｜工作表 03｜原列 43｜左欄</x:v>
      </x:c>
    </x:row>
    <x:row r="159" ht="15" hidden="0" customHeight="1">
      <x:c r="A159" s="40" t="str">
        <x:v>03</x:v>
      </x:c>
      <x:c r="B159" s="40" t="str">
        <x:v>4F</x:v>
      </x:c>
      <x:c r="C159" s="40" t="str">
        <x:v>梁版</x:v>
      </x:c>
      <x:c r="D159" s="40" t="str">
        <x:v>下 層 版 筋</x:v>
      </x:c>
      <x:c r="E159" s="41" t="n">
        <x:v>44</x:v>
      </x:c>
      <x:c r="F159" s="40" t="str">
        <x:v>左欄</x:v>
      </x:c>
      <x:c r="G159" s="38" t="n">
        <x:v>3</x:v>
      </x:c>
      <x:c r="H159" s="37" t="n">
        <x:v>300</x:v>
      </x:c>
      <x:c r="I159" s="37" t="n">
        <x:v>66</x:v>
      </x:c>
      <x:c r="J159" s="37"/>
      <x:c r="K159" s="36" t="n">
        <x:v>300</x:v>
      </x:c>
      <x:c r="L159" s="37"/>
      <x:c r="M159" s="42" t="n">
        <x:f>IF(G159="","",INDEX('規格與範圍'!$B$14:$B$23,MATCH(G159,'規格與範圍'!$A$14:$A$23,0)))</x:f>
        <x:v>0.559</x:v>
      </x:c>
      <x:c r="N159" s="42" t="n">
        <x:f>IF(OR(H159="",I159="",M159=""),"",H159*I159*M159/100)</x:f>
        <x:v>110.682</x:v>
      </x:c>
      <x:c r="O159" s="36" t="str">
        <x:v>友愛街 3F梁版往上 鋼筋料單 114.08.28.XLS｜工作表 03｜原列 44｜左欄</x:v>
      </x:c>
    </x:row>
    <x:row r="160" ht="15" hidden="0" customHeight="1">
      <x:c r="A160" s="40" t="str">
        <x:v>03</x:v>
      </x:c>
      <x:c r="B160" s="40" t="str">
        <x:v>4F</x:v>
      </x:c>
      <x:c r="C160" s="40" t="str">
        <x:v>梁版</x:v>
      </x:c>
      <x:c r="D160" s="40" t="str">
        <x:v>版 工 作 筋</x:v>
      </x:c>
      <x:c r="E160" s="41" t="n">
        <x:v>47</x:v>
      </x:c>
      <x:c r="F160" s="40" t="str">
        <x:v>左欄</x:v>
      </x:c>
      <x:c r="G160" s="38" t="n">
        <x:v>4</x:v>
      </x:c>
      <x:c r="H160" s="37" t="n">
        <x:v>500</x:v>
      </x:c>
      <x:c r="I160" s="37" t="n">
        <x:v>75</x:v>
      </x:c>
      <x:c r="J160" s="37"/>
      <x:c r="K160" s="36" t="n">
        <x:v>500</x:v>
      </x:c>
      <x:c r="L160" s="37"/>
      <x:c r="M160" s="42" t="n">
        <x:f>IF(G160="","",INDEX('規格與範圍'!$B$14:$B$23,MATCH(G160,'規格與範圍'!$A$14:$A$23,0)))</x:f>
        <x:v>0.994</x:v>
      </x:c>
      <x:c r="N160" s="42" t="n">
        <x:f>IF(OR(H160="",I160="",M160=""),"",H160*I160*M160/100)</x:f>
        <x:v>372.75</x:v>
      </x:c>
      <x:c r="O160" s="36" t="str">
        <x:v>友愛街 3F梁版往上 鋼筋料單 114.08.28.XLS｜工作表 03｜原列 47｜左欄</x:v>
      </x:c>
    </x:row>
    <x:row r="161" ht="15" hidden="0" customHeight="1">
      <x:c r="A161" s="40" t="str">
        <x:v>03</x:v>
      </x:c>
      <x:c r="B161" s="40" t="str">
        <x:v>4F</x:v>
      </x:c>
      <x:c r="C161" s="40" t="str">
        <x:v>梁版</x:v>
      </x:c>
      <x:c r="D161" s="40" t="str">
        <x:v>版 工 作 筋</x:v>
      </x:c>
      <x:c r="E161" s="41" t="n">
        <x:v>49</x:v>
      </x:c>
      <x:c r="F161" s="40" t="str">
        <x:v>左欄</x:v>
      </x:c>
      <x:c r="G161" s="38" t="n">
        <x:v>4</x:v>
      </x:c>
      <x:c r="H161" s="37" t="n">
        <x:v>106</x:v>
      </x:c>
      <x:c r="I161" s="37" t="n">
        <x:v>145</x:v>
      </x:c>
      <x:c r="J161" s="37" t="n">
        <x:v>30</x:v>
      </x:c>
      <x:c r="K161" s="36"/>
      <x:c r="L161" s="37" t="n">
        <x:v>8</x:v>
      </x:c>
      <x:c r="M161" s="42" t="n">
        <x:f>IF(G161="","",INDEX('規格與範圍'!$B$14:$B$23,MATCH(G161,'規格與範圍'!$A$14:$A$23,0)))</x:f>
        <x:v>0.994</x:v>
      </x:c>
      <x:c r="N161" s="42" t="n">
        <x:f>IF(OR(H161="",I161="",M161=""),"",H161*I161*M161/100)</x:f>
        <x:v>152.7778</x:v>
      </x:c>
      <x:c r="O161" s="36" t="str">
        <x:v>友愛街 3F梁版往上 鋼筋料單 114.08.28.XLS｜工作表 03｜原列 49｜左欄</x:v>
      </x:c>
    </x:row>
    <x:row r="162" ht="15" hidden="0" customHeight="1">
      <x:c r="A162" s="40" t="str">
        <x:v>03</x:v>
      </x:c>
      <x:c r="B162" s="40" t="str">
        <x:v>4F</x:v>
      </x:c>
      <x:c r="C162" s="40" t="str">
        <x:v>梁版</x:v>
      </x:c>
      <x:c r="D162" s="40" t="str">
        <x:v>牆 預 留 筋</x:v>
      </x:c>
      <x:c r="E162" s="41" t="n">
        <x:v>53</x:v>
      </x:c>
      <x:c r="F162" s="40" t="str">
        <x:v>左欄</x:v>
      </x:c>
      <x:c r="G162" s="38" t="n">
        <x:v>3</x:v>
      </x:c>
      <x:c r="H162" s="37" t="n">
        <x:v>75</x:v>
      </x:c>
      <x:c r="I162" s="37" t="n">
        <x:v>24</x:v>
      </x:c>
      <x:c r="J162" s="37"/>
      <x:c r="K162" s="36" t="n">
        <x:v>60</x:v>
      </x:c>
      <x:c r="L162" s="37" t="n">
        <x:v>15</x:v>
      </x:c>
      <x:c r="M162" s="42" t="n">
        <x:f>IF(G162="","",INDEX('規格與範圍'!$B$14:$B$23,MATCH(G162,'規格與範圍'!$A$14:$A$23,0)))</x:f>
        <x:v>0.559</x:v>
      </x:c>
      <x:c r="N162" s="42" t="n">
        <x:f>IF(OR(H162="",I162="",M162=""),"",H162*I162*M162/100)</x:f>
        <x:v>10.062000000000001</x:v>
      </x:c>
      <x:c r="O162" s="36" t="str">
        <x:v>友愛街 3F梁版往上 鋼筋料單 114.08.28.XLS｜工作表 03｜原列 53｜左欄</x:v>
      </x:c>
    </x:row>
    <x:row r="163" ht="15" hidden="0" customHeight="1">
      <x:c r="A163" s="40" t="str">
        <x:v>03</x:v>
      </x:c>
      <x:c r="B163" s="40" t="str">
        <x:v>4F</x:v>
      </x:c>
      <x:c r="C163" s="40" t="str">
        <x:v>梁版</x:v>
      </x:c>
      <x:c r="D163" s="40" t="str">
        <x:v>牆 預 留 筋</x:v>
      </x:c>
      <x:c r="E163" s="41" t="n">
        <x:v>54</x:v>
      </x:c>
      <x:c r="F163" s="40" t="str">
        <x:v>左欄</x:v>
      </x:c>
      <x:c r="G163" s="38" t="n">
        <x:v>3</x:v>
      </x:c>
      <x:c r="H163" s="37" t="n">
        <x:v>135</x:v>
      </x:c>
      <x:c r="I163" s="37" t="n">
        <x:v>80</x:v>
      </x:c>
      <x:c r="J163" s="37"/>
      <x:c r="K163" s="36" t="n">
        <x:v>135</x:v>
      </x:c>
      <x:c r="L163" s="37"/>
      <x:c r="M163" s="42" t="n">
        <x:f>IF(G163="","",INDEX('規格與範圍'!$B$14:$B$23,MATCH(G163,'規格與範圍'!$A$14:$A$23,0)))</x:f>
        <x:v>0.559</x:v>
      </x:c>
      <x:c r="N163" s="42" t="n">
        <x:f>IF(OR(H163="",I163="",M163=""),"",H163*I163*M163/100)</x:f>
        <x:v>60.37200000000001</x:v>
      </x:c>
      <x:c r="O163" s="36" t="str">
        <x:v>友愛街 3F梁版往上 鋼筋料單 114.08.28.XLS｜工作表 03｜原列 54｜左欄</x:v>
      </x:c>
    </x:row>
    <x:row r="164" ht="15" hidden="0" customHeight="1">
      <x:c r="A164" s="40" t="str">
        <x:v>03</x:v>
      </x:c>
      <x:c r="B164" s="40" t="str">
        <x:v>4F</x:v>
      </x:c>
      <x:c r="C164" s="40" t="str">
        <x:v>梁版</x:v>
      </x:c>
      <x:c r="D164" s="40" t="str">
        <x:v>降 版 連 接 筋</x:v>
      </x:c>
      <x:c r="E164" s="41" t="n">
        <x:v>57</x:v>
      </x:c>
      <x:c r="F164" s="40" t="str">
        <x:v>左欄</x:v>
      </x:c>
      <x:c r="G164" s="38" t="n">
        <x:v>3</x:v>
      </x:c>
      <x:c r="H164" s="37" t="n">
        <x:v>180</x:v>
      </x:c>
      <x:c r="I164" s="37" t="n">
        <x:v>20</x:v>
      </x:c>
      <x:c r="J164" s="37"/>
      <x:c r="K164" s="36" t="n">
        <x:v>80</x:v>
      </x:c>
      <x:c r="L164" s="37"/>
      <x:c r="M164" s="42" t="n">
        <x:f>IF(G164="","",INDEX('規格與範圍'!$B$14:$B$23,MATCH(G164,'規格與範圍'!$A$14:$A$23,0)))</x:f>
        <x:v>0.559</x:v>
      </x:c>
      <x:c r="N164" s="42" t="n">
        <x:f>IF(OR(H164="",I164="",M164=""),"",H164*I164*M164/100)</x:f>
        <x:v>20.124000000000002</x:v>
      </x:c>
      <x:c r="O164" s="36" t="str">
        <x:v>友愛街 3F梁版往上 鋼筋料單 114.08.28.XLS｜工作表 03｜原列 57｜左欄</x:v>
      </x:c>
    </x:row>
    <x:row r="165" ht="15" hidden="0" customHeight="1">
      <x:c r="A165" s="40" t="str">
        <x:v>03</x:v>
      </x:c>
      <x:c r="B165" s="40" t="str">
        <x:v>4F</x:v>
      </x:c>
      <x:c r="C165" s="40" t="str">
        <x:v>梁版</x:v>
      </x:c>
      <x:c r="D165" s="40" t="str">
        <x:v>樑 筋</x:v>
      </x:c>
      <x:c r="E165" s="41" t="n">
        <x:v>5</x:v>
      </x:c>
      <x:c r="F165" s="40" t="str">
        <x:v>右欄</x:v>
      </x:c>
      <x:c r="G165" s="38" t="n">
        <x:v>6</x:v>
      </x:c>
      <x:c r="H165" s="37" t="n">
        <x:v>600</x:v>
      </x:c>
      <x:c r="I165" s="37" t="n">
        <x:v>7</x:v>
      </x:c>
      <x:c r="J165" s="37" t="n">
        <x:v>0</x:v>
      </x:c>
      <x:c r="K165" s="36" t="n">
        <x:v>600</x:v>
      </x:c>
      <x:c r="L165" s="37" t="n">
        <x:v>0</x:v>
      </x:c>
      <x:c r="M165" s="42" t="n">
        <x:f>IF(G165="","",INDEX('規格與範圍'!$B$14:$B$23,MATCH(G165,'規格與範圍'!$A$14:$A$23,0)))</x:f>
        <x:v>2.25</x:v>
      </x:c>
      <x:c r="N165" s="42" t="n">
        <x:f>IF(OR(H165="",I165="",M165=""),"",H165*I165*M165/100)</x:f>
        <x:v>94.5</x:v>
      </x:c>
      <x:c r="O165" s="36" t="str">
        <x:v>友愛街 3F梁版往上 鋼筋料單 114.08.28.XLS｜工作表 03｜原列 5｜右欄</x:v>
      </x:c>
    </x:row>
    <x:row r="166" ht="15" hidden="0" customHeight="1">
      <x:c r="A166" s="40" t="str">
        <x:v>03</x:v>
      </x:c>
      <x:c r="B166" s="40" t="str">
        <x:v>4F</x:v>
      </x:c>
      <x:c r="C166" s="40" t="str">
        <x:v>梁版</x:v>
      </x:c>
      <x:c r="D166" s="40" t="str">
        <x:v>樑 筋</x:v>
      </x:c>
      <x:c r="E166" s="41" t="n">
        <x:v>6</x:v>
      </x:c>
      <x:c r="F166" s="40" t="str">
        <x:v>右欄</x:v>
      </x:c>
      <x:c r="G166" s="38" t="n">
        <x:v>6</x:v>
      </x:c>
      <x:c r="H166" s="37" t="n">
        <x:v>450</x:v>
      </x:c>
      <x:c r="I166" s="37" t="n">
        <x:v>4</x:v>
      </x:c>
      <x:c r="J166" s="37" t="n">
        <x:v>0</x:v>
      </x:c>
      <x:c r="K166" s="36" t="n">
        <x:v>450</x:v>
      </x:c>
      <x:c r="L166" s="37" t="n">
        <x:v>0</x:v>
      </x:c>
      <x:c r="M166" s="42" t="n">
        <x:f>IF(G166="","",INDEX('規格與範圍'!$B$14:$B$23,MATCH(G166,'規格與範圍'!$A$14:$A$23,0)))</x:f>
        <x:v>2.25</x:v>
      </x:c>
      <x:c r="N166" s="42" t="n">
        <x:f>IF(OR(H166="",I166="",M166=""),"",H166*I166*M166/100)</x:f>
        <x:v>40.5</x:v>
      </x:c>
      <x:c r="O166" s="36" t="str">
        <x:v>友愛街 3F梁版往上 鋼筋料單 114.08.28.XLS｜工作表 03｜原列 6｜右欄</x:v>
      </x:c>
    </x:row>
    <x:row r="167" ht="15" hidden="0" customHeight="1">
      <x:c r="A167" s="40" t="str">
        <x:v>03</x:v>
      </x:c>
      <x:c r="B167" s="40" t="str">
        <x:v>4F</x:v>
      </x:c>
      <x:c r="C167" s="40" t="str">
        <x:v>梁版</x:v>
      </x:c>
      <x:c r="D167" s="40" t="str">
        <x:v>樑 筋</x:v>
      </x:c>
      <x:c r="E167" s="41" t="n">
        <x:v>7</x:v>
      </x:c>
      <x:c r="F167" s="40" t="str">
        <x:v>右欄</x:v>
      </x:c>
      <x:c r="G167" s="38" t="n">
        <x:v>6</x:v>
      </x:c>
      <x:c r="H167" s="37" t="n">
        <x:v>300</x:v>
      </x:c>
      <x:c r="I167" s="37" t="n">
        <x:v>1</x:v>
      </x:c>
      <x:c r="J167" s="37" t="n">
        <x:v>0</x:v>
      </x:c>
      <x:c r="K167" s="36" t="n">
        <x:v>300</x:v>
      </x:c>
      <x:c r="L167" s="37" t="n">
        <x:v>0</x:v>
      </x:c>
      <x:c r="M167" s="42" t="n">
        <x:f>IF(G167="","",INDEX('規格與範圍'!$B$14:$B$23,MATCH(G167,'規格與範圍'!$A$14:$A$23,0)))</x:f>
        <x:v>2.25</x:v>
      </x:c>
      <x:c r="N167" s="42" t="n">
        <x:f>IF(OR(H167="",I167="",M167=""),"",H167*I167*M167/100)</x:f>
        <x:v>6.75</x:v>
      </x:c>
      <x:c r="O167" s="36" t="str">
        <x:v>友愛街 3F梁版往上 鋼筋料單 114.08.28.XLS｜工作表 03｜原列 7｜右欄</x:v>
      </x:c>
    </x:row>
    <x:row r="168" ht="15" hidden="0" customHeight="1">
      <x:c r="A168" s="40" t="str">
        <x:v>03</x:v>
      </x:c>
      <x:c r="B168" s="40" t="str">
        <x:v>4F</x:v>
      </x:c>
      <x:c r="C168" s="40" t="str">
        <x:v>梁版</x:v>
      </x:c>
      <x:c r="D168" s="40" t="str">
        <x:v>箍 筋</x:v>
      </x:c>
      <x:c r="E168" s="41" t="n">
        <x:v>11</x:v>
      </x:c>
      <x:c r="F168" s="40" t="str">
        <x:v>右欄</x:v>
      </x:c>
      <x:c r="G168" s="38" t="n">
        <x:v>4</x:v>
      </x:c>
      <x:c r="H168" s="37" t="n">
        <x:v>186</x:v>
      </x:c>
      <x:c r="I168" s="37" t="n">
        <x:v>240</x:v>
      </x:c>
      <x:c r="J168" s="37" t="str">
        <x:v>13 / 13</x:v>
      </x:c>
      <x:c r="K168" s="36"/>
      <x:c r="L168" s="37" t="n">
        <x:v>60</x:v>
      </x:c>
      <x:c r="M168" s="42" t="n">
        <x:f>IF(G168="","",INDEX('規格與範圍'!$B$14:$B$23,MATCH(G168,'規格與範圍'!$A$14:$A$23,0)))</x:f>
        <x:v>0.994</x:v>
      </x:c>
      <x:c r="N168" s="42" t="n">
        <x:f>IF(OR(H168="",I168="",M168=""),"",H168*I168*M168/100)</x:f>
        <x:v>443.72159999999997</x:v>
      </x:c>
      <x:c r="O168" s="36" t="str">
        <x:v>友愛街 3F梁版往上 鋼筋料單 114.08.28.XLS｜工作表 03｜原列 11｜右欄</x:v>
      </x:c>
    </x:row>
    <x:row r="169" ht="15" hidden="0" customHeight="1">
      <x:c r="A169" s="40" t="str">
        <x:v>03</x:v>
      </x:c>
      <x:c r="B169" s="40" t="str">
        <x:v>4F</x:v>
      </x:c>
      <x:c r="C169" s="40" t="str">
        <x:v>梁版</x:v>
      </x:c>
      <x:c r="D169" s="40" t="str">
        <x:v>箍 筋</x:v>
      </x:c>
      <x:c r="E169" s="41" t="n">
        <x:v>13</x:v>
      </x:c>
      <x:c r="F169" s="40" t="str">
        <x:v>右欄</x:v>
      </x:c>
      <x:c r="G169" s="38" t="n">
        <x:v>4</x:v>
      </x:c>
      <x:c r="H169" s="37" t="n">
        <x:v>176</x:v>
      </x:c>
      <x:c r="I169" s="37" t="n">
        <x:v>145</x:v>
      </x:c>
      <x:c r="J169" s="37" t="str">
        <x:v>13 / 13</x:v>
      </x:c>
      <x:c r="K169" s="36"/>
      <x:c r="L169" s="37" t="n">
        <x:v>60</x:v>
      </x:c>
      <x:c r="M169" s="42" t="n">
        <x:f>IF(G169="","",INDEX('規格與範圍'!$B$14:$B$23,MATCH(G169,'規格與範圍'!$A$14:$A$23,0)))</x:f>
        <x:v>0.994</x:v>
      </x:c>
      <x:c r="N169" s="42" t="n">
        <x:f>IF(OR(H169="",I169="",M169=""),"",H169*I169*M169/100)</x:f>
        <x:v>253.6688</x:v>
      </x:c>
      <x:c r="O169" s="36" t="str">
        <x:v>友愛街 3F梁版往上 鋼筋料單 114.08.28.XLS｜工作表 03｜原列 13｜右欄</x:v>
      </x:c>
    </x:row>
    <x:row r="170" ht="15" hidden="0" customHeight="1">
      <x:c r="A170" s="40" t="str">
        <x:v>03</x:v>
      </x:c>
      <x:c r="B170" s="40" t="str">
        <x:v>4F</x:v>
      </x:c>
      <x:c r="C170" s="40" t="str">
        <x:v>梁版</x:v>
      </x:c>
      <x:c r="D170" s="40" t="str">
        <x:v>箍 筋</x:v>
      </x:c>
      <x:c r="E170" s="41" t="n">
        <x:v>15</x:v>
      </x:c>
      <x:c r="F170" s="40" t="str">
        <x:v>右欄</x:v>
      </x:c>
      <x:c r="G170" s="38" t="n">
        <x:v>3</x:v>
      </x:c>
      <x:c r="H170" s="37" t="n">
        <x:v>147</x:v>
      </x:c>
      <x:c r="I170" s="37" t="n">
        <x:v>151</x:v>
      </x:c>
      <x:c r="J170" s="37" t="str">
        <x:v>11 / 11</x:v>
      </x:c>
      <x:c r="K170" s="36"/>
      <x:c r="L170" s="37" t="n">
        <x:v>50</x:v>
      </x:c>
      <x:c r="M170" s="42" t="n">
        <x:f>IF(G170="","",INDEX('規格與範圍'!$B$14:$B$23,MATCH(G170,'規格與範圍'!$A$14:$A$23,0)))</x:f>
        <x:v>0.559</x:v>
      </x:c>
      <x:c r="N170" s="42" t="n">
        <x:f>IF(OR(H170="",I170="",M170=""),"",H170*I170*M170/100)</x:f>
        <x:v>124.08123000000002</x:v>
      </x:c>
      <x:c r="O170" s="36" t="str">
        <x:v>友愛街 3F梁版往上 鋼筋料單 114.08.28.XLS｜工作表 03｜原列 15｜右欄</x:v>
      </x:c>
    </x:row>
    <x:row r="171" ht="15" hidden="0" customHeight="1">
      <x:c r="A171" s="40" t="str">
        <x:v>03</x:v>
      </x:c>
      <x:c r="B171" s="40" t="str">
        <x:v>4F</x:v>
      </x:c>
      <x:c r="C171" s="40" t="str">
        <x:v>梁版</x:v>
      </x:c>
      <x:c r="D171" s="40" t="str">
        <x:v>箍 筋</x:v>
      </x:c>
      <x:c r="E171" s="41" t="n">
        <x:v>17</x:v>
      </x:c>
      <x:c r="F171" s="40" t="str">
        <x:v>右欄</x:v>
      </x:c>
      <x:c r="G171" s="38" t="n">
        <x:v>3</x:v>
      </x:c>
      <x:c r="H171" s="37" t="n">
        <x:v>119</x:v>
      </x:c>
      <x:c r="I171" s="37" t="n">
        <x:v>27</x:v>
      </x:c>
      <x:c r="J171" s="37" t="str">
        <x:v>11 / 11</x:v>
      </x:c>
      <x:c r="K171" s="36"/>
      <x:c r="L171" s="37" t="n">
        <x:v>40</x:v>
      </x:c>
      <x:c r="M171" s="42" t="n">
        <x:f>IF(G171="","",INDEX('規格與範圍'!$B$14:$B$23,MATCH(G171,'規格與範圍'!$A$14:$A$23,0)))</x:f>
        <x:v>0.559</x:v>
      </x:c>
      <x:c r="N171" s="42" t="n">
        <x:f>IF(OR(H171="",I171="",M171=""),"",H171*I171*M171/100)</x:f>
        <x:v>17.960670000000004</x:v>
      </x:c>
      <x:c r="O171" s="36" t="str">
        <x:v>友愛街 3F梁版往上 鋼筋料單 114.08.28.XLS｜工作表 03｜原列 17｜右欄</x:v>
      </x:c>
    </x:row>
    <x:row r="172" ht="15" hidden="0" customHeight="1">
      <x:c r="A172" s="40" t="str">
        <x:v>03</x:v>
      </x:c>
      <x:c r="B172" s="40" t="str">
        <x:v>4F</x:v>
      </x:c>
      <x:c r="C172" s="40" t="str">
        <x:v>梁版</x:v>
      </x:c>
      <x:c r="D172" s="40" t="str">
        <x:v>箍 筋</x:v>
      </x:c>
      <x:c r="E172" s="41" t="n">
        <x:v>19</x:v>
      </x:c>
      <x:c r="F172" s="40" t="str">
        <x:v>右欄</x:v>
      </x:c>
      <x:c r="G172" s="38" t="n">
        <x:v>3</x:v>
      </x:c>
      <x:c r="H172" s="37" t="n">
        <x:v>99</x:v>
      </x:c>
      <x:c r="I172" s="37" t="n">
        <x:v>41</x:v>
      </x:c>
      <x:c r="J172" s="37" t="str">
        <x:v>11 / 11</x:v>
      </x:c>
      <x:c r="K172" s="36"/>
      <x:c r="L172" s="37" t="n">
        <x:v>30</x:v>
      </x:c>
      <x:c r="M172" s="42" t="n">
        <x:f>IF(G172="","",INDEX('規格與範圍'!$B$14:$B$23,MATCH(G172,'規格與範圍'!$A$14:$A$23,0)))</x:f>
        <x:v>0.559</x:v>
      </x:c>
      <x:c r="N172" s="42" t="n">
        <x:f>IF(OR(H172="",I172="",M172=""),"",H172*I172*M172/100)</x:f>
        <x:v>22.68981</x:v>
      </x:c>
      <x:c r="O172" s="36" t="str">
        <x:v>友愛街 3F梁版往上 鋼筋料單 114.08.28.XLS｜工作表 03｜原列 19｜右欄</x:v>
      </x:c>
    </x:row>
    <x:row r="173" ht="15" hidden="0" customHeight="1">
      <x:c r="A173" s="40" t="str">
        <x:v>03</x:v>
      </x:c>
      <x:c r="B173" s="40" t="str">
        <x:v>4F</x:v>
      </x:c>
      <x:c r="C173" s="40" t="str">
        <x:v>梁版</x:v>
      </x:c>
      <x:c r="D173" s="40" t="str">
        <x:v>箍 筋</x:v>
      </x:c>
      <x:c r="E173" s="41" t="n">
        <x:v>21</x:v>
      </x:c>
      <x:c r="F173" s="40" t="str">
        <x:v>右欄</x:v>
      </x:c>
      <x:c r="G173" s="38" t="n">
        <x:v>4</x:v>
      </x:c>
      <x:c r="H173" s="37" t="n">
        <x:v>65</x:v>
      </x:c>
      <x:c r="I173" s="37" t="n">
        <x:v>240</x:v>
      </x:c>
      <x:c r="J173" s="37" t="n">
        <x:v>12</x:v>
      </x:c>
      <x:c r="K173" s="36" t="n">
        <x:v>40</x:v>
      </x:c>
      <x:c r="L173" s="37" t="n">
        <x:v>13</x:v>
      </x:c>
      <x:c r="M173" s="42" t="n">
        <x:f>IF(G173="","",INDEX('規格與範圍'!$B$14:$B$23,MATCH(G173,'規格與範圍'!$A$14:$A$23,0)))</x:f>
        <x:v>0.994</x:v>
      </x:c>
      <x:c r="N173" s="42" t="n">
        <x:f>IF(OR(H173="",I173="",M173=""),"",H173*I173*M173/100)</x:f>
        <x:v>155.064</x:v>
      </x:c>
      <x:c r="O173" s="36" t="str">
        <x:v>友愛街 3F梁版往上 鋼筋料單 114.08.28.XLS｜工作表 03｜原列 21｜右欄</x:v>
      </x:c>
    </x:row>
    <x:row r="174" ht="15" hidden="0" customHeight="1">
      <x:c r="A174" s="40" t="str">
        <x:v>03</x:v>
      </x:c>
      <x:c r="B174" s="40" t="str">
        <x:v>4F</x:v>
      </x:c>
      <x:c r="C174" s="40" t="str">
        <x:v>梁版</x:v>
      </x:c>
      <x:c r="D174" s="40" t="str">
        <x:v>箍 筋</x:v>
      </x:c>
      <x:c r="E174" s="41" t="n">
        <x:v>22</x:v>
      </x:c>
      <x:c r="F174" s="40" t="str">
        <x:v>右欄</x:v>
      </x:c>
      <x:c r="G174" s="38" t="n">
        <x:v>4</x:v>
      </x:c>
      <x:c r="H174" s="37" t="n">
        <x:v>55</x:v>
      </x:c>
      <x:c r="I174" s="37" t="n">
        <x:v>145</x:v>
      </x:c>
      <x:c r="J174" s="37" t="n">
        <x:v>12</x:v>
      </x:c>
      <x:c r="K174" s="36" t="n">
        <x:v>30</x:v>
      </x:c>
      <x:c r="L174" s="37" t="n">
        <x:v>13</x:v>
      </x:c>
      <x:c r="M174" s="42" t="n">
        <x:f>IF(G174="","",INDEX('規格與範圍'!$B$14:$B$23,MATCH(G174,'規格與範圍'!$A$14:$A$23,0)))</x:f>
        <x:v>0.994</x:v>
      </x:c>
      <x:c r="N174" s="42" t="n">
        <x:f>IF(OR(H174="",I174="",M174=""),"",H174*I174*M174/100)</x:f>
        <x:v>79.2715</x:v>
      </x:c>
      <x:c r="O174" s="36" t="str">
        <x:v>友愛街 3F梁版往上 鋼筋料單 114.08.28.XLS｜工作表 03｜原列 22｜右欄</x:v>
      </x:c>
    </x:row>
    <x:row r="175" ht="15" hidden="0" customHeight="1">
      <x:c r="A175" s="40" t="str">
        <x:v>03</x:v>
      </x:c>
      <x:c r="B175" s="40" t="str">
        <x:v>4F</x:v>
      </x:c>
      <x:c r="C175" s="40" t="str">
        <x:v>梁版</x:v>
      </x:c>
      <x:c r="D175" s="40" t="str">
        <x:v>箍 筋</x:v>
      </x:c>
      <x:c r="E175" s="41" t="n">
        <x:v>23</x:v>
      </x:c>
      <x:c r="F175" s="40" t="str">
        <x:v>右欄</x:v>
      </x:c>
      <x:c r="G175" s="38" t="n">
        <x:v>3</x:v>
      </x:c>
      <x:c r="H175" s="37" t="n">
        <x:v>45</x:v>
      </x:c>
      <x:c r="I175" s="37" t="n">
        <x:v>151</x:v>
      </x:c>
      <x:c r="J175" s="37" t="n">
        <x:v>9</x:v>
      </x:c>
      <x:c r="K175" s="36" t="n">
        <x:v>25</x:v>
      </x:c>
      <x:c r="L175" s="37" t="n">
        <x:v>11</x:v>
      </x:c>
      <x:c r="M175" s="42" t="n">
        <x:f>IF(G175="","",INDEX('規格與範圍'!$B$14:$B$23,MATCH(G175,'規格與範圍'!$A$14:$A$23,0)))</x:f>
        <x:v>0.559</x:v>
      </x:c>
      <x:c r="N175" s="42" t="n">
        <x:f>IF(OR(H175="",I175="",M175=""),"",H175*I175*M175/100)</x:f>
        <x:v>37.98405</x:v>
      </x:c>
      <x:c r="O175" s="36" t="str">
        <x:v>友愛街 3F梁版往上 鋼筋料單 114.08.28.XLS｜工作表 03｜原列 23｜右欄</x:v>
      </x:c>
    </x:row>
    <x:row r="176" ht="15" hidden="0" customHeight="1">
      <x:c r="A176" s="40" t="str">
        <x:v>03</x:v>
      </x:c>
      <x:c r="B176" s="40" t="str">
        <x:v>4F</x:v>
      </x:c>
      <x:c r="C176" s="40" t="str">
        <x:v>梁版</x:v>
      </x:c>
      <x:c r="D176" s="40" t="str">
        <x:v>箍 筋</x:v>
      </x:c>
      <x:c r="E176" s="41" t="n">
        <x:v>24</x:v>
      </x:c>
      <x:c r="F176" s="40" t="str">
        <x:v>右欄</x:v>
      </x:c>
      <x:c r="G176" s="38" t="n">
        <x:v>3</x:v>
      </x:c>
      <x:c r="H176" s="37" t="n">
        <x:v>37</x:v>
      </x:c>
      <x:c r="I176" s="37" t="n">
        <x:v>68</x:v>
      </x:c>
      <x:c r="J176" s="37" t="n">
        <x:v>9</x:v>
      </x:c>
      <x:c r="K176" s="36" t="n">
        <x:v>17</x:v>
      </x:c>
      <x:c r="L176" s="37" t="n">
        <x:v>11</x:v>
      </x:c>
      <x:c r="M176" s="42" t="n">
        <x:f>IF(G176="","",INDEX('規格與範圍'!$B$14:$B$23,MATCH(G176,'規格與範圍'!$A$14:$A$23,0)))</x:f>
        <x:v>0.559</x:v>
      </x:c>
      <x:c r="N176" s="42" t="n">
        <x:f>IF(OR(H176="",I176="",M176=""),"",H176*I176*M176/100)</x:f>
        <x:v>14.064440000000001</x:v>
      </x:c>
      <x:c r="O176" s="36" t="str">
        <x:v>友愛街 3F梁版往上 鋼筋料單 114.08.28.XLS｜工作表 03｜原列 24｜右欄</x:v>
      </x:c>
    </x:row>
    <x:row r="177" ht="15" hidden="0" customHeight="1">
      <x:c r="A177" s="40" t="str">
        <x:v>03</x:v>
      </x:c>
      <x:c r="B177" s="40" t="str">
        <x:v>4F</x:v>
      </x:c>
      <x:c r="C177" s="40" t="str">
        <x:v>梁版</x:v>
      </x:c>
      <x:c r="D177" s="40" t="str">
        <x:v>樑 腰 筋</x:v>
      </x:c>
      <x:c r="E177" s="41" t="n">
        <x:v>27</x:v>
      </x:c>
      <x:c r="F177" s="40" t="str">
        <x:v>右欄</x:v>
      </x:c>
      <x:c r="G177" s="38" t="n">
        <x:v>4</x:v>
      </x:c>
      <x:c r="H177" s="37" t="n">
        <x:v>500</x:v>
      </x:c>
      <x:c r="I177" s="37" t="n">
        <x:v>16</x:v>
      </x:c>
      <x:c r="J177" s="37" t="n">
        <x:v>0</x:v>
      </x:c>
      <x:c r="K177" s="36" t="n">
        <x:v>500</x:v>
      </x:c>
      <x:c r="L177" s="37" t="n">
        <x:v>0</x:v>
      </x:c>
      <x:c r="M177" s="42" t="n">
        <x:f>IF(G177="","",INDEX('規格與範圍'!$B$14:$B$23,MATCH(G177,'規格與範圍'!$A$14:$A$23,0)))</x:f>
        <x:v>0.994</x:v>
      </x:c>
      <x:c r="N177" s="42" t="n">
        <x:f>IF(OR(H177="",I177="",M177=""),"",H177*I177*M177/100)</x:f>
        <x:v>79.52</x:v>
      </x:c>
      <x:c r="O177" s="36" t="str">
        <x:v>友愛街 3F梁版往上 鋼筋料單 114.08.28.XLS｜工作表 03｜原列 27｜右欄</x:v>
      </x:c>
    </x:row>
    <x:row r="178" ht="15" hidden="0" customHeight="1">
      <x:c r="A178" s="40" t="str">
        <x:v>03</x:v>
      </x:c>
      <x:c r="B178" s="40" t="str">
        <x:v>4F</x:v>
      </x:c>
      <x:c r="C178" s="40" t="str">
        <x:v>梁版</x:v>
      </x:c>
      <x:c r="D178" s="40" t="str">
        <x:v>樑 工 作 筋</x:v>
      </x:c>
      <x:c r="E178" s="41" t="n">
        <x:v>30</x:v>
      </x:c>
      <x:c r="F178" s="40" t="str">
        <x:v>右欄</x:v>
      </x:c>
      <x:c r="G178" s="38" t="n">
        <x:v>8</x:v>
      </x:c>
      <x:c r="H178" s="37" t="n">
        <x:v>70</x:v>
      </x:c>
      <x:c r="I178" s="37" t="n">
        <x:v>40</x:v>
      </x:c>
      <x:c r="J178" s="37"/>
      <x:c r="K178" s="36" t="n">
        <x:v>70</x:v>
      </x:c>
      <x:c r="L178" s="37"/>
      <x:c r="M178" s="42" t="n">
        <x:f>IF(G178="","",INDEX('規格與範圍'!$B$14:$B$23,MATCH(G178,'規格與範圍'!$A$14:$A$23,0)))</x:f>
        <x:v>3.98</x:v>
      </x:c>
      <x:c r="N178" s="42" t="n">
        <x:f>IF(OR(H178="",I178="",M178=""),"",H178*I178*M178/100)</x:f>
        <x:v>111.44</x:v>
      </x:c>
      <x:c r="O178" s="36" t="str">
        <x:v>友愛街 3F梁版往上 鋼筋料單 114.08.28.XLS｜工作表 03｜原列 30｜右欄</x:v>
      </x:c>
    </x:row>
    <x:row r="179" ht="15" hidden="0" customHeight="1">
      <x:c r="A179" s="40" t="str">
        <x:v>03</x:v>
      </x:c>
      <x:c r="B179" s="40" t="str">
        <x:v>4F</x:v>
      </x:c>
      <x:c r="C179" s="40" t="str">
        <x:v>梁版</x:v>
      </x:c>
      <x:c r="D179" s="40" t="str">
        <x:v>樑 工 作 筋</x:v>
      </x:c>
      <x:c r="E179" s="41" t="n">
        <x:v>31</x:v>
      </x:c>
      <x:c r="F179" s="40" t="str">
        <x:v>右欄</x:v>
      </x:c>
      <x:c r="G179" s="38" t="n">
        <x:v>3</x:v>
      </x:c>
      <x:c r="H179" s="37" t="n">
        <x:v>50</x:v>
      </x:c>
      <x:c r="I179" s="37" t="n">
        <x:v>15</x:v>
      </x:c>
      <x:c r="J179" s="37"/>
      <x:c r="K179" s="36" t="n">
        <x:v>50</x:v>
      </x:c>
      <x:c r="L179" s="37"/>
      <x:c r="M179" s="42" t="n">
        <x:f>IF(G179="","",INDEX('規格與範圍'!$B$14:$B$23,MATCH(G179,'規格與範圍'!$A$14:$A$23,0)))</x:f>
        <x:v>0.559</x:v>
      </x:c>
      <x:c r="N179" s="42" t="n">
        <x:f>IF(OR(H179="",I179="",M179=""),"",H179*I179*M179/100)</x:f>
        <x:v>4.192500000000001</x:v>
      </x:c>
      <x:c r="O179" s="36" t="str">
        <x:v>友愛街 3F梁版往上 鋼筋料單 114.08.28.XLS｜工作表 03｜原列 31｜右欄</x:v>
      </x:c>
    </x:row>
    <x:row r="180" ht="15" hidden="0" customHeight="1">
      <x:c r="A180" s="40" t="str">
        <x:v>03</x:v>
      </x:c>
      <x:c r="B180" s="40" t="str">
        <x:v>4F</x:v>
      </x:c>
      <x:c r="C180" s="40" t="str">
        <x:v>梁版</x:v>
      </x:c>
      <x:c r="D180" s="40" t="str">
        <x:v>上 層 版 筋</x:v>
      </x:c>
      <x:c r="E180" s="41" t="n">
        <x:v>33</x:v>
      </x:c>
      <x:c r="F180" s="40" t="str">
        <x:v>右欄</x:v>
      </x:c>
      <x:c r="G180" s="38" t="n">
        <x:v>4</x:v>
      </x:c>
      <x:c r="H180" s="37" t="n">
        <x:v>400</x:v>
      </x:c>
      <x:c r="I180" s="37" t="n">
        <x:v>19</x:v>
      </x:c>
      <x:c r="J180" s="37"/>
      <x:c r="K180" s="36" t="n">
        <x:v>380</x:v>
      </x:c>
      <x:c r="L180" s="37" t="n">
        <x:v>20</x:v>
      </x:c>
      <x:c r="M180" s="42" t="n">
        <x:f>IF(G180="","",INDEX('規格與範圍'!$B$14:$B$23,MATCH(G180,'規格與範圍'!$A$14:$A$23,0)))</x:f>
        <x:v>0.994</x:v>
      </x:c>
      <x:c r="N180" s="42" t="n">
        <x:f>IF(OR(H180="",I180="",M180=""),"",H180*I180*M180/100)</x:f>
        <x:v>75.544</x:v>
      </x:c>
      <x:c r="O180" s="36" t="str">
        <x:v>友愛街 3F梁版往上 鋼筋料單 114.08.28.XLS｜工作表 03｜原列 33｜右欄</x:v>
      </x:c>
    </x:row>
    <x:row r="181" ht="15" hidden="0" customHeight="1">
      <x:c r="A181" s="40" t="str">
        <x:v>03</x:v>
      </x:c>
      <x:c r="B181" s="40" t="str">
        <x:v>4F</x:v>
      </x:c>
      <x:c r="C181" s="40" t="str">
        <x:v>梁版</x:v>
      </x:c>
      <x:c r="D181" s="40" t="str">
        <x:v>上 層 版 筋</x:v>
      </x:c>
      <x:c r="E181" s="41" t="n">
        <x:v>34</x:v>
      </x:c>
      <x:c r="F181" s="40" t="str">
        <x:v>右欄</x:v>
      </x:c>
      <x:c r="G181" s="38" t="n">
        <x:v>4</x:v>
      </x:c>
      <x:c r="H181" s="37" t="n">
        <x:v>350</x:v>
      </x:c>
      <x:c r="I181" s="37" t="n">
        <x:v>48</x:v>
      </x:c>
      <x:c r="J181" s="37"/>
      <x:c r="K181" s="36" t="n">
        <x:v>330</x:v>
      </x:c>
      <x:c r="L181" s="37" t="n">
        <x:v>20</x:v>
      </x:c>
      <x:c r="M181" s="42" t="n">
        <x:f>IF(G181="","",INDEX('規格與範圍'!$B$14:$B$23,MATCH(G181,'規格與範圍'!$A$14:$A$23,0)))</x:f>
        <x:v>0.994</x:v>
      </x:c>
      <x:c r="N181" s="42" t="n">
        <x:f>IF(OR(H181="",I181="",M181=""),"",H181*I181*M181/100)</x:f>
        <x:v>166.99200000000002</x:v>
      </x:c>
      <x:c r="O181" s="36" t="str">
        <x:v>友愛街 3F梁版往上 鋼筋料單 114.08.28.XLS｜工作表 03｜原列 34｜右欄</x:v>
      </x:c>
    </x:row>
    <x:row r="182" ht="15" hidden="0" customHeight="1">
      <x:c r="A182" s="40" t="str">
        <x:v>03</x:v>
      </x:c>
      <x:c r="B182" s="40" t="str">
        <x:v>4F</x:v>
      </x:c>
      <x:c r="C182" s="40" t="str">
        <x:v>梁版</x:v>
      </x:c>
      <x:c r="D182" s="40" t="str">
        <x:v>上 層 版 筋</x:v>
      </x:c>
      <x:c r="E182" s="41" t="n">
        <x:v>35</x:v>
      </x:c>
      <x:c r="F182" s="40" t="str">
        <x:v>右欄</x:v>
      </x:c>
      <x:c r="G182" s="38" t="n">
        <x:v>4</x:v>
      </x:c>
      <x:c r="H182" s="37" t="n">
        <x:v>300</x:v>
      </x:c>
      <x:c r="I182" s="37" t="n">
        <x:v>27</x:v>
      </x:c>
      <x:c r="J182" s="37"/>
      <x:c r="K182" s="36" t="n">
        <x:v>280</x:v>
      </x:c>
      <x:c r="L182" s="37" t="n">
        <x:v>20</x:v>
      </x:c>
      <x:c r="M182" s="42" t="n">
        <x:f>IF(G182="","",INDEX('規格與範圍'!$B$14:$B$23,MATCH(G182,'規格與範圍'!$A$14:$A$23,0)))</x:f>
        <x:v>0.994</x:v>
      </x:c>
      <x:c r="N182" s="42" t="n">
        <x:f>IF(OR(H182="",I182="",M182=""),"",H182*I182*M182/100)</x:f>
        <x:v>80.514</x:v>
      </x:c>
      <x:c r="O182" s="36" t="str">
        <x:v>友愛街 3F梁版往上 鋼筋料單 114.08.28.XLS｜工作表 03｜原列 35｜右欄</x:v>
      </x:c>
    </x:row>
    <x:row r="183" ht="15" hidden="0" customHeight="1">
      <x:c r="A183" s="40" t="str">
        <x:v>03</x:v>
      </x:c>
      <x:c r="B183" s="40" t="str">
        <x:v>4F</x:v>
      </x:c>
      <x:c r="C183" s="40" t="str">
        <x:v>梁版</x:v>
      </x:c>
      <x:c r="D183" s="40" t="str">
        <x:v>上 層 版 筋</x:v>
      </x:c>
      <x:c r="E183" s="41" t="n">
        <x:v>36</x:v>
      </x:c>
      <x:c r="F183" s="40" t="str">
        <x:v>右欄</x:v>
      </x:c>
      <x:c r="G183" s="38" t="n">
        <x:v>4</x:v>
      </x:c>
      <x:c r="H183" s="37" t="n">
        <x:v>250</x:v>
      </x:c>
      <x:c r="I183" s="37" t="n">
        <x:v>22</x:v>
      </x:c>
      <x:c r="J183" s="37"/>
      <x:c r="K183" s="36" t="n">
        <x:v>230</x:v>
      </x:c>
      <x:c r="L183" s="37" t="n">
        <x:v>20</x:v>
      </x:c>
      <x:c r="M183" s="42" t="n">
        <x:f>IF(G183="","",INDEX('規格與範圍'!$B$14:$B$23,MATCH(G183,'規格與範圍'!$A$14:$A$23,0)))</x:f>
        <x:v>0.994</x:v>
      </x:c>
      <x:c r="N183" s="42" t="n">
        <x:f>IF(OR(H183="",I183="",M183=""),"",H183*I183*M183/100)</x:f>
        <x:v>54.67</x:v>
      </x:c>
      <x:c r="O183" s="36" t="str">
        <x:v>友愛街 3F梁版往上 鋼筋料單 114.08.28.XLS｜工作表 03｜原列 36｜右欄</x:v>
      </x:c>
    </x:row>
    <x:row r="184" ht="15" hidden="0" customHeight="1">
      <x:c r="A184" s="40" t="str">
        <x:v>03</x:v>
      </x:c>
      <x:c r="B184" s="40" t="str">
        <x:v>4F</x:v>
      </x:c>
      <x:c r="C184" s="40" t="str">
        <x:v>梁版</x:v>
      </x:c>
      <x:c r="D184" s="40" t="str">
        <x:v>上 層 版 筋</x:v>
      </x:c>
      <x:c r="E184" s="41" t="n">
        <x:v>37</x:v>
      </x:c>
      <x:c r="F184" s="40" t="str">
        <x:v>右欄</x:v>
      </x:c>
      <x:c r="G184" s="38" t="n">
        <x:v>4</x:v>
      </x:c>
      <x:c r="H184" s="37" t="n">
        <x:v>200</x:v>
      </x:c>
      <x:c r="I184" s="37" t="n">
        <x:v>23</x:v>
      </x:c>
      <x:c r="J184" s="37"/>
      <x:c r="K184" s="36" t="n">
        <x:v>180</x:v>
      </x:c>
      <x:c r="L184" s="37" t="n">
        <x:v>20</x:v>
      </x:c>
      <x:c r="M184" s="42" t="n">
        <x:f>IF(G184="","",INDEX('規格與範圍'!$B$14:$B$23,MATCH(G184,'規格與範圍'!$A$14:$A$23,0)))</x:f>
        <x:v>0.994</x:v>
      </x:c>
      <x:c r="N184" s="42" t="n">
        <x:f>IF(OR(H184="",I184="",M184=""),"",H184*I184*M184/100)</x:f>
        <x:v>45.724</x:v>
      </x:c>
      <x:c r="O184" s="36" t="str">
        <x:v>友愛街 3F梁版往上 鋼筋料單 114.08.28.XLS｜工作表 03｜原列 37｜右欄</x:v>
      </x:c>
    </x:row>
    <x:row r="185" ht="15" hidden="0" customHeight="1">
      <x:c r="A185" s="40" t="str">
        <x:v>03</x:v>
      </x:c>
      <x:c r="B185" s="40" t="str">
        <x:v>4F</x:v>
      </x:c>
      <x:c r="C185" s="40" t="str">
        <x:v>梁版</x:v>
      </x:c>
      <x:c r="D185" s="40" t="str">
        <x:v>上 層 版 筋</x:v>
      </x:c>
      <x:c r="E185" s="41" t="n">
        <x:v>38</x:v>
      </x:c>
      <x:c r="F185" s="40" t="str">
        <x:v>右欄</x:v>
      </x:c>
      <x:c r="G185" s="38" t="n">
        <x:v>4</x:v>
      </x:c>
      <x:c r="H185" s="37" t="n">
        <x:v>350</x:v>
      </x:c>
      <x:c r="I185" s="37" t="n">
        <x:v>24</x:v>
      </x:c>
      <x:c r="J185" s="37"/>
      <x:c r="K185" s="36" t="n">
        <x:v>350</x:v>
      </x:c>
      <x:c r="L185" s="37"/>
      <x:c r="M185" s="42" t="n">
        <x:f>IF(G185="","",INDEX('規格與範圍'!$B$14:$B$23,MATCH(G185,'規格與範圍'!$A$14:$A$23,0)))</x:f>
        <x:v>0.994</x:v>
      </x:c>
      <x:c r="N185" s="42" t="n">
        <x:f>IF(OR(H185="",I185="",M185=""),"",H185*I185*M185/100)</x:f>
        <x:v>83.49600000000001</x:v>
      </x:c>
      <x:c r="O185" s="36" t="str">
        <x:v>友愛街 3F梁版往上 鋼筋料單 114.08.28.XLS｜工作表 03｜原列 38｜右欄</x:v>
      </x:c>
    </x:row>
    <x:row r="186" ht="15" hidden="0" customHeight="1">
      <x:c r="A186" s="40" t="str">
        <x:v>03</x:v>
      </x:c>
      <x:c r="B186" s="40" t="str">
        <x:v>4F</x:v>
      </x:c>
      <x:c r="C186" s="40" t="str">
        <x:v>梁版</x:v>
      </x:c>
      <x:c r="D186" s="40" t="str">
        <x:v>上 層 版 筋</x:v>
      </x:c>
      <x:c r="E186" s="41" t="n">
        <x:v>40</x:v>
      </x:c>
      <x:c r="F186" s="40" t="str">
        <x:v>右欄</x:v>
      </x:c>
      <x:c r="G186" s="38" t="n">
        <x:v>3</x:v>
      </x:c>
      <x:c r="H186" s="37" t="n">
        <x:v>550</x:v>
      </x:c>
      <x:c r="I186" s="37" t="n">
        <x:v>99</x:v>
      </x:c>
      <x:c r="J186" s="37"/>
      <x:c r="K186" s="36" t="n">
        <x:v>535</x:v>
      </x:c>
      <x:c r="L186" s="37" t="n">
        <x:v>15</x:v>
      </x:c>
      <x:c r="M186" s="42" t="n">
        <x:f>IF(G186="","",INDEX('規格與範圍'!$B$14:$B$23,MATCH(G186,'規格與範圍'!$A$14:$A$23,0)))</x:f>
        <x:v>0.559</x:v>
      </x:c>
      <x:c r="N186" s="42" t="n">
        <x:f>IF(OR(H186="",I186="",M186=""),"",H186*I186*M186/100)</x:f>
        <x:v>304.37550000000005</x:v>
      </x:c>
      <x:c r="O186" s="36" t="str">
        <x:v>友愛街 3F梁版往上 鋼筋料單 114.08.28.XLS｜工作表 03｜原列 40｜右欄</x:v>
      </x:c>
    </x:row>
    <x:row r="187" ht="15" hidden="0" customHeight="1">
      <x:c r="A187" s="40" t="str">
        <x:v>03</x:v>
      </x:c>
      <x:c r="B187" s="40" t="str">
        <x:v>4F</x:v>
      </x:c>
      <x:c r="C187" s="40" t="str">
        <x:v>梁版</x:v>
      </x:c>
      <x:c r="D187" s="40" t="str">
        <x:v>上 層 版 筋</x:v>
      </x:c>
      <x:c r="E187" s="41" t="n">
        <x:v>41</x:v>
      </x:c>
      <x:c r="F187" s="40" t="str">
        <x:v>右欄</x:v>
      </x:c>
      <x:c r="G187" s="38" t="n">
        <x:v>3</x:v>
      </x:c>
      <x:c r="H187" s="37" t="n">
        <x:v>450</x:v>
      </x:c>
      <x:c r="I187" s="37" t="n">
        <x:v>10</x:v>
      </x:c>
      <x:c r="J187" s="37"/>
      <x:c r="K187" s="36" t="n">
        <x:v>435</x:v>
      </x:c>
      <x:c r="L187" s="37" t="n">
        <x:v>15</x:v>
      </x:c>
      <x:c r="M187" s="42" t="n">
        <x:f>IF(G187="","",INDEX('規格與範圍'!$B$14:$B$23,MATCH(G187,'規格與範圍'!$A$14:$A$23,0)))</x:f>
        <x:v>0.559</x:v>
      </x:c>
      <x:c r="N187" s="42" t="n">
        <x:f>IF(OR(H187="",I187="",M187=""),"",H187*I187*M187/100)</x:f>
        <x:v>25.155000000000005</x:v>
      </x:c>
      <x:c r="O187" s="36" t="str">
        <x:v>友愛街 3F梁版往上 鋼筋料單 114.08.28.XLS｜工作表 03｜原列 41｜右欄</x:v>
      </x:c>
    </x:row>
    <x:row r="188" ht="15" hidden="0" customHeight="1">
      <x:c r="A188" s="40" t="str">
        <x:v>03</x:v>
      </x:c>
      <x:c r="B188" s="40" t="str">
        <x:v>4F</x:v>
      </x:c>
      <x:c r="C188" s="40" t="str">
        <x:v>梁版</x:v>
      </x:c>
      <x:c r="D188" s="40" t="str">
        <x:v>上 層 版 筋</x:v>
      </x:c>
      <x:c r="E188" s="41" t="n">
        <x:v>42</x:v>
      </x:c>
      <x:c r="F188" s="40" t="str">
        <x:v>右欄</x:v>
      </x:c>
      <x:c r="G188" s="38" t="n">
        <x:v>3</x:v>
      </x:c>
      <x:c r="H188" s="37" t="n">
        <x:v>400</x:v>
      </x:c>
      <x:c r="I188" s="37" t="n">
        <x:v>174</x:v>
      </x:c>
      <x:c r="J188" s="37"/>
      <x:c r="K188" s="36" t="n">
        <x:v>385</x:v>
      </x:c>
      <x:c r="L188" s="37" t="n">
        <x:v>15</x:v>
      </x:c>
      <x:c r="M188" s="42" t="n">
        <x:f>IF(G188="","",INDEX('規格與範圍'!$B$14:$B$23,MATCH(G188,'規格與範圍'!$A$14:$A$23,0)))</x:f>
        <x:v>0.559</x:v>
      </x:c>
      <x:c r="N188" s="42" t="n">
        <x:f>IF(OR(H188="",I188="",M188=""),"",H188*I188*M188/100)</x:f>
        <x:v>389.064</x:v>
      </x:c>
      <x:c r="O188" s="36" t="str">
        <x:v>友愛街 3F梁版往上 鋼筋料單 114.08.28.XLS｜工作表 03｜原列 42｜右欄</x:v>
      </x:c>
    </x:row>
    <x:row r="189" ht="15" hidden="0" customHeight="1">
      <x:c r="A189" s="40" t="str">
        <x:v>03</x:v>
      </x:c>
      <x:c r="B189" s="40" t="str">
        <x:v>4F</x:v>
      </x:c>
      <x:c r="C189" s="40" t="str">
        <x:v>梁版</x:v>
      </x:c>
      <x:c r="D189" s="40" t="str">
        <x:v>上 層 版 筋</x:v>
      </x:c>
      <x:c r="E189" s="41" t="n">
        <x:v>43</x:v>
      </x:c>
      <x:c r="F189" s="40" t="str">
        <x:v>右欄</x:v>
      </x:c>
      <x:c r="G189" s="38" t="n">
        <x:v>3</x:v>
      </x:c>
      <x:c r="H189" s="37" t="n">
        <x:v>350</x:v>
      </x:c>
      <x:c r="I189" s="37" t="n">
        <x:v>17</x:v>
      </x:c>
      <x:c r="J189" s="37"/>
      <x:c r="K189" s="36" t="n">
        <x:v>335</x:v>
      </x:c>
      <x:c r="L189" s="37" t="n">
        <x:v>15</x:v>
      </x:c>
      <x:c r="M189" s="42" t="n">
        <x:f>IF(G189="","",INDEX('規格與範圍'!$B$14:$B$23,MATCH(G189,'規格與範圍'!$A$14:$A$23,0)))</x:f>
        <x:v>0.559</x:v>
      </x:c>
      <x:c r="N189" s="42" t="n">
        <x:f>IF(OR(H189="",I189="",M189=""),"",H189*I189*M189/100)</x:f>
        <x:v>33.2605</x:v>
      </x:c>
      <x:c r="O189" s="36" t="str">
        <x:v>友愛街 3F梁版往上 鋼筋料單 114.08.28.XLS｜工作表 03｜原列 43｜右欄</x:v>
      </x:c>
    </x:row>
    <x:row r="190" ht="15" hidden="0" customHeight="1">
      <x:c r="A190" s="40" t="str">
        <x:v>03</x:v>
      </x:c>
      <x:c r="B190" s="40" t="str">
        <x:v>4F</x:v>
      </x:c>
      <x:c r="C190" s="40" t="str">
        <x:v>梁版</x:v>
      </x:c>
      <x:c r="D190" s="40" t="str">
        <x:v>上 層 版 筋</x:v>
      </x:c>
      <x:c r="E190" s="41" t="n">
        <x:v>44</x:v>
      </x:c>
      <x:c r="F190" s="40" t="str">
        <x:v>右欄</x:v>
      </x:c>
      <x:c r="G190" s="38" t="n">
        <x:v>3</x:v>
      </x:c>
      <x:c r="H190" s="37" t="n">
        <x:v>315</x:v>
      </x:c>
      <x:c r="I190" s="37" t="n">
        <x:v>28</x:v>
      </x:c>
      <x:c r="J190" s="37"/>
      <x:c r="K190" s="36" t="n">
        <x:v>300</x:v>
      </x:c>
      <x:c r="L190" s="37" t="n">
        <x:v>15</x:v>
      </x:c>
      <x:c r="M190" s="42" t="n">
        <x:f>IF(G190="","",INDEX('規格與範圍'!$B$14:$B$23,MATCH(G190,'規格與範圍'!$A$14:$A$23,0)))</x:f>
        <x:v>0.559</x:v>
      </x:c>
      <x:c r="N190" s="42" t="n">
        <x:f>IF(OR(H190="",I190="",M190=""),"",H190*I190*M190/100)</x:f>
        <x:v>49.3038</x:v>
      </x:c>
      <x:c r="O190" s="36" t="str">
        <x:v>友愛街 3F梁版往上 鋼筋料單 114.08.28.XLS｜工作表 03｜原列 44｜右欄</x:v>
      </x:c>
    </x:row>
    <x:row r="191" ht="15" hidden="0" customHeight="1">
      <x:c r="A191" s="40" t="str">
        <x:v>03</x:v>
      </x:c>
      <x:c r="B191" s="40" t="str">
        <x:v>4F</x:v>
      </x:c>
      <x:c r="C191" s="40" t="str">
        <x:v>梁版</x:v>
      </x:c>
      <x:c r="D191" s="40" t="str">
        <x:v>上 層 版 筋</x:v>
      </x:c>
      <x:c r="E191" s="41" t="n">
        <x:v>45</x:v>
      </x:c>
      <x:c r="F191" s="40" t="str">
        <x:v>右欄</x:v>
      </x:c>
      <x:c r="G191" s="38" t="n">
        <x:v>3</x:v>
      </x:c>
      <x:c r="H191" s="37" t="n">
        <x:v>200</x:v>
      </x:c>
      <x:c r="I191" s="37" t="n">
        <x:v>10</x:v>
      </x:c>
      <x:c r="J191" s="37"/>
      <x:c r="K191" s="36" t="n">
        <x:v>185</x:v>
      </x:c>
      <x:c r="L191" s="37" t="n">
        <x:v>15</x:v>
      </x:c>
      <x:c r="M191" s="42" t="n">
        <x:f>IF(G191="","",INDEX('規格與範圍'!$B$14:$B$23,MATCH(G191,'規格與範圍'!$A$14:$A$23,0)))</x:f>
        <x:v>0.559</x:v>
      </x:c>
      <x:c r="N191" s="42" t="n">
        <x:f>IF(OR(H191="",I191="",M191=""),"",H191*I191*M191/100)</x:f>
        <x:v>11.18</x:v>
      </x:c>
      <x:c r="O191" s="36" t="str">
        <x:v>友愛街 3F梁版往上 鋼筋料單 114.08.28.XLS｜工作表 03｜原列 45｜右欄</x:v>
      </x:c>
    </x:row>
    <x:row r="192" ht="15" hidden="0" customHeight="1">
      <x:c r="A192" s="40" t="str">
        <x:v>03</x:v>
      </x:c>
      <x:c r="B192" s="40" t="str">
        <x:v>4F</x:v>
      </x:c>
      <x:c r="C192" s="40" t="str">
        <x:v>梁版</x:v>
      </x:c>
      <x:c r="D192" s="40" t="str">
        <x:v>上 層 版 筋</x:v>
      </x:c>
      <x:c r="E192" s="41" t="n">
        <x:v>46</x:v>
      </x:c>
      <x:c r="F192" s="40" t="str">
        <x:v>右欄</x:v>
      </x:c>
      <x:c r="G192" s="38" t="n">
        <x:v>3</x:v>
      </x:c>
      <x:c r="H192" s="37" t="n">
        <x:v>700</x:v>
      </x:c>
      <x:c r="I192" s="37" t="n">
        <x:v>22</x:v>
      </x:c>
      <x:c r="J192" s="37"/>
      <x:c r="K192" s="36" t="n">
        <x:v>700</x:v>
      </x:c>
      <x:c r="L192" s="37"/>
      <x:c r="M192" s="42" t="n">
        <x:f>IF(G192="","",INDEX('規格與範圍'!$B$14:$B$23,MATCH(G192,'規格與範圍'!$A$14:$A$23,0)))</x:f>
        <x:v>0.559</x:v>
      </x:c>
      <x:c r="N192" s="42" t="n">
        <x:f>IF(OR(H192="",I192="",M192=""),"",H192*I192*M192/100)</x:f>
        <x:v>86.086</x:v>
      </x:c>
      <x:c r="O192" s="36" t="str">
        <x:v>友愛街 3F梁版往上 鋼筋料單 114.08.28.XLS｜工作表 03｜原列 46｜右欄</x:v>
      </x:c>
    </x:row>
    <x:row r="193" ht="15" hidden="0" customHeight="1">
      <x:c r="A193" s="40" t="str">
        <x:v>03</x:v>
      </x:c>
      <x:c r="B193" s="40" t="str">
        <x:v>4F</x:v>
      </x:c>
      <x:c r="C193" s="40" t="str">
        <x:v>梁版</x:v>
      </x:c>
      <x:c r="D193" s="40" t="str">
        <x:v>上 層 版 筋</x:v>
      </x:c>
      <x:c r="E193" s="41" t="n">
        <x:v>47</x:v>
      </x:c>
      <x:c r="F193" s="40" t="str">
        <x:v>右欄</x:v>
      </x:c>
      <x:c r="G193" s="38" t="n">
        <x:v>3</x:v>
      </x:c>
      <x:c r="H193" s="37" t="n">
        <x:v>400</x:v>
      </x:c>
      <x:c r="I193" s="37" t="n">
        <x:v>70</x:v>
      </x:c>
      <x:c r="J193" s="37"/>
      <x:c r="K193" s="36" t="n">
        <x:v>400</x:v>
      </x:c>
      <x:c r="L193" s="37"/>
      <x:c r="M193" s="42" t="n">
        <x:f>IF(G193="","",INDEX('規格與範圍'!$B$14:$B$23,MATCH(G193,'規格與範圍'!$A$14:$A$23,0)))</x:f>
        <x:v>0.559</x:v>
      </x:c>
      <x:c r="N193" s="42" t="n">
        <x:f>IF(OR(H193="",I193="",M193=""),"",H193*I193*M193/100)</x:f>
        <x:v>156.52</x:v>
      </x:c>
      <x:c r="O193" s="36" t="str">
        <x:v>友愛街 3F梁版往上 鋼筋料單 114.08.28.XLS｜工作表 03｜原列 47｜右欄</x:v>
      </x:c>
    </x:row>
    <x:row r="194" ht="15" hidden="0" customHeight="1">
      <x:c r="A194" s="40" t="str">
        <x:v>03</x:v>
      </x:c>
      <x:c r="B194" s="40" t="str">
        <x:v>4F</x:v>
      </x:c>
      <x:c r="C194" s="40" t="str">
        <x:v>梁版</x:v>
      </x:c>
      <x:c r="D194" s="40" t="str">
        <x:v>上 層 版 筋</x:v>
      </x:c>
      <x:c r="E194" s="41" t="n">
        <x:v>48</x:v>
      </x:c>
      <x:c r="F194" s="40" t="str">
        <x:v>右欄</x:v>
      </x:c>
      <x:c r="G194" s="38" t="n">
        <x:v>3</x:v>
      </x:c>
      <x:c r="H194" s="37" t="n">
        <x:v>300</x:v>
      </x:c>
      <x:c r="I194" s="37" t="n">
        <x:v>48</x:v>
      </x:c>
      <x:c r="J194" s="37"/>
      <x:c r="K194" s="36" t="n">
        <x:v>300</x:v>
      </x:c>
      <x:c r="L194" s="37"/>
      <x:c r="M194" s="42" t="n">
        <x:f>IF(G194="","",INDEX('規格與範圍'!$B$14:$B$23,MATCH(G194,'規格與範圍'!$A$14:$A$23,0)))</x:f>
        <x:v>0.559</x:v>
      </x:c>
      <x:c r="N194" s="42" t="n">
        <x:f>IF(OR(H194="",I194="",M194=""),"",H194*I194*M194/100)</x:f>
        <x:v>80.49600000000001</x:v>
      </x:c>
      <x:c r="O194" s="36" t="str">
        <x:v>友愛街 3F梁版往上 鋼筋料單 114.08.28.XLS｜工作表 03｜原列 48｜右欄</x:v>
      </x:c>
    </x:row>
    <x:row r="195" ht="15" hidden="0" customHeight="1">
      <x:c r="A195" s="40" t="str">
        <x:v>03</x:v>
      </x:c>
      <x:c r="B195" s="40" t="str">
        <x:v>4F</x:v>
      </x:c>
      <x:c r="C195" s="40" t="str">
        <x:v>梁版</x:v>
      </x:c>
      <x:c r="D195" s="40" t="str">
        <x:v>樓 梯</x:v>
      </x:c>
      <x:c r="E195" s="41" t="n">
        <x:v>50</x:v>
      </x:c>
      <x:c r="F195" s="40" t="str">
        <x:v>右欄</x:v>
      </x:c>
      <x:c r="G195" s="38" t="n">
        <x:v>4</x:v>
      </x:c>
      <x:c r="H195" s="37" t="n">
        <x:v>450</x:v>
      </x:c>
      <x:c r="I195" s="37" t="n">
        <x:v>44</x:v>
      </x:c>
      <x:c r="J195" s="37"/>
      <x:c r="K195" s="36" t="n">
        <x:v>430</x:v>
      </x:c>
      <x:c r="L195" s="37" t="n">
        <x:v>20</x:v>
      </x:c>
      <x:c r="M195" s="42" t="n">
        <x:f>IF(G195="","",INDEX('規格與範圍'!$B$14:$B$23,MATCH(G195,'規格與範圍'!$A$14:$A$23,0)))</x:f>
        <x:v>0.994</x:v>
      </x:c>
      <x:c r="N195" s="42" t="n">
        <x:f>IF(OR(H195="",I195="",M195=""),"",H195*I195*M195/100)</x:f>
        <x:v>196.812</x:v>
      </x:c>
      <x:c r="O195" s="36" t="str">
        <x:v>友愛街 3F梁版往上 鋼筋料單 114.08.28.XLS｜工作表 03｜原列 50｜右欄</x:v>
      </x:c>
    </x:row>
    <x:row r="196" ht="15" hidden="0" customHeight="1">
      <x:c r="A196" s="40" t="str">
        <x:v>03</x:v>
      </x:c>
      <x:c r="B196" s="40" t="str">
        <x:v>4F</x:v>
      </x:c>
      <x:c r="C196" s="40" t="str">
        <x:v>梁版</x:v>
      </x:c>
      <x:c r="D196" s="40" t="str">
        <x:v>樓 梯</x:v>
      </x:c>
      <x:c r="E196" s="41" t="n">
        <x:v>51</x:v>
      </x:c>
      <x:c r="F196" s="40" t="str">
        <x:v>右欄</x:v>
      </x:c>
      <x:c r="G196" s="38" t="n">
        <x:v>4</x:v>
      </x:c>
      <x:c r="H196" s="37" t="n">
        <x:v>140</x:v>
      </x:c>
      <x:c r="I196" s="37" t="n">
        <x:v>22</x:v>
      </x:c>
      <x:c r="J196" s="37"/>
      <x:c r="K196" s="36" t="n">
        <x:v>120</x:v>
      </x:c>
      <x:c r="L196" s="37" t="n">
        <x:v>20</x:v>
      </x:c>
      <x:c r="M196" s="42" t="n">
        <x:f>IF(G196="","",INDEX('規格與範圍'!$B$14:$B$23,MATCH(G196,'規格與範圍'!$A$14:$A$23,0)))</x:f>
        <x:v>0.994</x:v>
      </x:c>
      <x:c r="N196" s="42" t="n">
        <x:f>IF(OR(H196="",I196="",M196=""),"",H196*I196*M196/100)</x:f>
        <x:v>30.6152</x:v>
      </x:c>
      <x:c r="O196" s="36" t="str">
        <x:v>友愛街 3F梁版往上 鋼筋料單 114.08.28.XLS｜工作表 03｜原列 51｜右欄</x:v>
      </x:c>
    </x:row>
    <x:row r="197" ht="15" hidden="0" customHeight="1">
      <x:c r="A197" s="40" t="str">
        <x:v>03</x:v>
      </x:c>
      <x:c r="B197" s="40" t="str">
        <x:v>4F</x:v>
      </x:c>
      <x:c r="C197" s="40" t="str">
        <x:v>梁版</x:v>
      </x:c>
      <x:c r="D197" s="40" t="str">
        <x:v>樓 梯</x:v>
      </x:c>
      <x:c r="E197" s="41" t="n">
        <x:v>52</x:v>
      </x:c>
      <x:c r="F197" s="40" t="str">
        <x:v>右欄</x:v>
      </x:c>
      <x:c r="G197" s="38" t="n">
        <x:v>4</x:v>
      </x:c>
      <x:c r="H197" s="37" t="n">
        <x:v>120</x:v>
      </x:c>
      <x:c r="I197" s="37" t="n">
        <x:v>22</x:v>
      </x:c>
      <x:c r="J197" s="37"/>
      <x:c r="K197" s="36" t="n">
        <x:v>120</x:v>
      </x:c>
      <x:c r="L197" s="37"/>
      <x:c r="M197" s="42" t="n">
        <x:f>IF(G197="","",INDEX('規格與範圍'!$B$14:$B$23,MATCH(G197,'規格與範圍'!$A$14:$A$23,0)))</x:f>
        <x:v>0.994</x:v>
      </x:c>
      <x:c r="N197" s="42" t="n">
        <x:f>IF(OR(H197="",I197="",M197=""),"",H197*I197*M197/100)</x:f>
        <x:v>26.2416</x:v>
      </x:c>
      <x:c r="O197" s="36" t="str">
        <x:v>友愛街 3F梁版往上 鋼筋料單 114.08.28.XLS｜工作表 03｜原列 52｜右欄</x:v>
      </x:c>
    </x:row>
    <x:row r="198" ht="15" hidden="0" customHeight="1">
      <x:c r="A198" s="40" t="str">
        <x:v>03</x:v>
      </x:c>
      <x:c r="B198" s="40" t="str">
        <x:v>4F</x:v>
      </x:c>
      <x:c r="C198" s="40" t="str">
        <x:v>梁版</x:v>
      </x:c>
      <x:c r="D198" s="40" t="str">
        <x:v>樓 梯</x:v>
      </x:c>
      <x:c r="E198" s="41" t="n">
        <x:v>54</x:v>
      </x:c>
      <x:c r="F198" s="40" t="str">
        <x:v>右欄</x:v>
      </x:c>
      <x:c r="G198" s="38" t="n">
        <x:v>3</x:v>
      </x:c>
      <x:c r="H198" s="37" t="n">
        <x:v>200</x:v>
      </x:c>
      <x:c r="I198" s="37" t="n">
        <x:v>16</x:v>
      </x:c>
      <x:c r="J198" s="37"/>
      <x:c r="K198" s="36" t="n">
        <x:v>185</x:v>
      </x:c>
      <x:c r="L198" s="37" t="n">
        <x:v>15</x:v>
      </x:c>
      <x:c r="M198" s="42" t="n">
        <x:f>IF(G198="","",INDEX('規格與範圍'!$B$14:$B$23,MATCH(G198,'規格與範圍'!$A$14:$A$23,0)))</x:f>
        <x:v>0.559</x:v>
      </x:c>
      <x:c r="N198" s="42" t="n">
        <x:f>IF(OR(H198="",I198="",M198=""),"",H198*I198*M198/100)</x:f>
        <x:v>17.888</x:v>
      </x:c>
      <x:c r="O198" s="36" t="str">
        <x:v>友愛街 3F梁版往上 鋼筋料單 114.08.28.XLS｜工作表 03｜原列 54｜右欄</x:v>
      </x:c>
    </x:row>
    <x:row r="199" ht="15" hidden="0" customHeight="1">
      <x:c r="A199" s="40" t="str">
        <x:v>03</x:v>
      </x:c>
      <x:c r="B199" s="40" t="str">
        <x:v>4F</x:v>
      </x:c>
      <x:c r="C199" s="40" t="str">
        <x:v>梁版</x:v>
      </x:c>
      <x:c r="D199" s="40" t="str">
        <x:v>樓 梯</x:v>
      </x:c>
      <x:c r="E199" s="41" t="n">
        <x:v>55</x:v>
      </x:c>
      <x:c r="F199" s="40" t="str">
        <x:v>右欄</x:v>
      </x:c>
      <x:c r="G199" s="38" t="n">
        <x:v>3</x:v>
      </x:c>
      <x:c r="H199" s="37" t="n">
        <x:v>120</x:v>
      </x:c>
      <x:c r="I199" s="37" t="n">
        <x:v>84</x:v>
      </x:c>
      <x:c r="J199" s="37"/>
      <x:c r="K199" s="36" t="n">
        <x:v>105</x:v>
      </x:c>
      <x:c r="L199" s="37" t="n">
        <x:v>15</x:v>
      </x:c>
      <x:c r="M199" s="42" t="n">
        <x:f>IF(G199="","",INDEX('規格與範圍'!$B$14:$B$23,MATCH(G199,'規格與範圍'!$A$14:$A$23,0)))</x:f>
        <x:v>0.559</x:v>
      </x:c>
      <x:c r="N199" s="42" t="n">
        <x:f>IF(OR(H199="",I199="",M199=""),"",H199*I199*M199/100)</x:f>
        <x:v>56.3472</x:v>
      </x:c>
      <x:c r="O199" s="36" t="str">
        <x:v>友愛街 3F梁版往上 鋼筋料單 114.08.28.XLS｜工作表 03｜原列 55｜右欄</x:v>
      </x:c>
    </x:row>
    <x:row r="200" ht="15" hidden="0" customHeight="1">
      <x:c r="A200" s="40" t="str">
        <x:v>03</x:v>
      </x:c>
      <x:c r="B200" s="40" t="str">
        <x:v>4F</x:v>
      </x:c>
      <x:c r="C200" s="40" t="str">
        <x:v>梁版</x:v>
      </x:c>
      <x:c r="D200" s="40" t="str">
        <x:v>樓 梯</x:v>
      </x:c>
      <x:c r="E200" s="41" t="n">
        <x:v>56</x:v>
      </x:c>
      <x:c r="F200" s="40" t="str">
        <x:v>右欄</x:v>
      </x:c>
      <x:c r="G200" s="38" t="n">
        <x:v>3</x:v>
      </x:c>
      <x:c r="H200" s="37" t="n">
        <x:v>180</x:v>
      </x:c>
      <x:c r="I200" s="37" t="n">
        <x:v>16</x:v>
      </x:c>
      <x:c r="J200" s="37"/>
      <x:c r="K200" s="36" t="n">
        <x:v>180</x:v>
      </x:c>
      <x:c r="L200" s="37"/>
      <x:c r="M200" s="42" t="n">
        <x:f>IF(G200="","",INDEX('規格與範圍'!$B$14:$B$23,MATCH(G200,'規格與範圍'!$A$14:$A$23,0)))</x:f>
        <x:v>0.559</x:v>
      </x:c>
      <x:c r="N200" s="42" t="n">
        <x:f>IF(OR(H200="",I200="",M200=""),"",H200*I200*M200/100)</x:f>
        <x:v>16.0992</x:v>
      </x:c>
      <x:c r="O200" s="36" t="str">
        <x:v>友愛街 3F梁版往上 鋼筋料單 114.08.28.XLS｜工作表 03｜原列 56｜右欄</x:v>
      </x:c>
    </x:row>
    <x:row r="201" ht="15" hidden="0" customHeight="1">
      <x:c r="A201" s="40" t="str">
        <x:v>03</x:v>
      </x:c>
      <x:c r="B201" s="40" t="str">
        <x:v>4F</x:v>
      </x:c>
      <x:c r="C201" s="40" t="str">
        <x:v>梁版</x:v>
      </x:c>
      <x:c r="D201" s="40" t="str">
        <x:v>樓 梯</x:v>
      </x:c>
      <x:c r="E201" s="41" t="n">
        <x:v>58</x:v>
      </x:c>
      <x:c r="F201" s="40" t="str">
        <x:v>右欄</x:v>
      </x:c>
      <x:c r="G201" s="38" t="n">
        <x:v>3</x:v>
      </x:c>
      <x:c r="H201" s="37" t="n">
        <x:v>180</x:v>
      </x:c>
      <x:c r="I201" s="37" t="n">
        <x:v>14</x:v>
      </x:c>
      <x:c r="J201" s="37"/>
      <x:c r="K201" s="36" t="n">
        <x:v>80</x:v>
      </x:c>
      <x:c r="L201" s="37"/>
      <x:c r="M201" s="42" t="n">
        <x:f>IF(G201="","",INDEX('規格與範圍'!$B$14:$B$23,MATCH(G201,'規格與範圍'!$A$14:$A$23,0)))</x:f>
        <x:v>0.559</x:v>
      </x:c>
      <x:c r="N201" s="42" t="n">
        <x:f>IF(OR(H201="",I201="",M201=""),"",H201*I201*M201/100)</x:f>
        <x:v>14.0868</x:v>
      </x:c>
      <x:c r="O201" s="36" t="str">
        <x:v>友愛街 3F梁版往上 鋼筋料單 114.08.28.XLS｜工作表 03｜原列 58｜右欄</x:v>
      </x:c>
    </x:row>
    <x:row r="202" ht="15" hidden="0" customHeight="1">
      <x:c r="A202" s="40" t="str">
        <x:v>04</x:v>
      </x:c>
      <x:c r="B202" s="40" t="str">
        <x:v>4F</x:v>
      </x:c>
      <x:c r="C202" s="40" t="str">
        <x:v>柱牆</x:v>
      </x:c>
      <x:c r="D202" s="40" t="str">
        <x:v>柱 筋</x:v>
      </x:c>
      <x:c r="E202" s="41" t="n">
        <x:v>5</x:v>
      </x:c>
      <x:c r="F202" s="40" t="str">
        <x:v>左欄</x:v>
      </x:c>
      <x:c r="G202" s="38" t="n">
        <x:v>8</x:v>
      </x:c>
      <x:c r="H202" s="37" t="n">
        <x:v>520</x:v>
      </x:c>
      <x:c r="I202" s="37" t="n">
        <x:v>2</x:v>
      </x:c>
      <x:c r="J202" s="37"/>
      <x:c r="K202" s="36" t="n">
        <x:v>520</x:v>
      </x:c>
      <x:c r="L202" s="37"/>
      <x:c r="M202" s="42" t="n">
        <x:f>IF(G202="","",INDEX('規格與範圍'!$B$14:$B$23,MATCH(G202,'規格與範圍'!$A$14:$A$23,0)))</x:f>
        <x:v>3.98</x:v>
      </x:c>
      <x:c r="N202" s="42" t="n">
        <x:f>IF(OR(H202="",I202="",M202=""),"",H202*I202*M202/100)</x:f>
        <x:v>41.391999999999996</x:v>
      </x:c>
      <x:c r="O202" s="36" t="str">
        <x:v>友愛街 3F梁版往上 鋼筋料單 114.08.28.XLS｜工作表 04｜原列 5｜左欄</x:v>
      </x:c>
    </x:row>
    <x:row r="203" ht="15" hidden="0" customHeight="1">
      <x:c r="A203" s="40" t="str">
        <x:v>04</x:v>
      </x:c>
      <x:c r="B203" s="40" t="str">
        <x:v>4F</x:v>
      </x:c>
      <x:c r="C203" s="40" t="str">
        <x:v>柱牆</x:v>
      </x:c>
      <x:c r="D203" s="40" t="str">
        <x:v>柱 筋</x:v>
      </x:c>
      <x:c r="E203" s="41" t="n">
        <x:v>6</x:v>
      </x:c>
      <x:c r="F203" s="40" t="str">
        <x:v>左欄</x:v>
      </x:c>
      <x:c r="G203" s="38" t="n">
        <x:v>8</x:v>
      </x:c>
      <x:c r="H203" s="37" t="n">
        <x:v>440</x:v>
      </x:c>
      <x:c r="I203" s="37" t="n">
        <x:v>2</x:v>
      </x:c>
      <x:c r="J203" s="37"/>
      <x:c r="K203" s="36" t="n">
        <x:v>440</x:v>
      </x:c>
      <x:c r="L203" s="37"/>
      <x:c r="M203" s="42" t="n">
        <x:f>IF(G203="","",INDEX('規格與範圍'!$B$14:$B$23,MATCH(G203,'規格與範圍'!$A$14:$A$23,0)))</x:f>
        <x:v>3.98</x:v>
      </x:c>
      <x:c r="N203" s="42" t="n">
        <x:f>IF(OR(H203="",I203="",M203=""),"",H203*I203*M203/100)</x:f>
        <x:v>35.024</x:v>
      </x:c>
      <x:c r="O203" s="36" t="str">
        <x:v>友愛街 3F梁版往上 鋼筋料單 114.08.28.XLS｜工作表 04｜原列 6｜左欄</x:v>
      </x:c>
    </x:row>
    <x:row r="204" ht="15" hidden="0" customHeight="1">
      <x:c r="A204" s="40" t="str">
        <x:v>04</x:v>
      </x:c>
      <x:c r="B204" s="40" t="str">
        <x:v>4F</x:v>
      </x:c>
      <x:c r="C204" s="40" t="str">
        <x:v>柱牆</x:v>
      </x:c>
      <x:c r="D204" s="40" t="str">
        <x:v>柱 筋</x:v>
      </x:c>
      <x:c r="E204" s="41" t="n">
        <x:v>7</x:v>
      </x:c>
      <x:c r="F204" s="40" t="str">
        <x:v>左欄</x:v>
      </x:c>
      <x:c r="G204" s="38" t="n">
        <x:v>8</x:v>
      </x:c>
      <x:c r="H204" s="37" t="n">
        <x:v>340</x:v>
      </x:c>
      <x:c r="I204" s="37" t="n">
        <x:v>58</x:v>
      </x:c>
      <x:c r="J204" s="37"/>
      <x:c r="K204" s="36" t="n">
        <x:v>340</x:v>
      </x:c>
      <x:c r="L204" s="37"/>
      <x:c r="M204" s="42" t="n">
        <x:f>IF(G204="","",INDEX('規格與範圍'!$B$14:$B$23,MATCH(G204,'規格與範圍'!$A$14:$A$23,0)))</x:f>
        <x:v>3.98</x:v>
      </x:c>
      <x:c r="N204" s="42" t="n">
        <x:f>IF(OR(H204="",I204="",M204=""),"",H204*I204*M204/100)</x:f>
        <x:v>784.8560000000001</x:v>
      </x:c>
      <x:c r="O204" s="36" t="str">
        <x:v>友愛街 3F梁版往上 鋼筋料單 114.08.28.XLS｜工作表 04｜原列 7｜左欄</x:v>
      </x:c>
    </x:row>
    <x:row r="205" ht="15" hidden="0" customHeight="1">
      <x:c r="A205" s="40" t="str">
        <x:v>04</x:v>
      </x:c>
      <x:c r="B205" s="40" t="str">
        <x:v>4F</x:v>
      </x:c>
      <x:c r="C205" s="40" t="str">
        <x:v>柱牆</x:v>
      </x:c>
      <x:c r="D205" s="40" t="str">
        <x:v>柱 筋</x:v>
      </x:c>
      <x:c r="E205" s="41" t="n">
        <x:v>8</x:v>
      </x:c>
      <x:c r="F205" s="40" t="str">
        <x:v>左欄</x:v>
      </x:c>
      <x:c r="G205" s="38" t="n">
        <x:v>8</x:v>
      </x:c>
      <x:c r="H205" s="37" t="n">
        <x:v>230</x:v>
      </x:c>
      <x:c r="I205" s="37" t="n">
        <x:v>27</x:v>
      </x:c>
      <x:c r="J205" s="37"/>
      <x:c r="K205" s="36" t="n">
        <x:v>230</x:v>
      </x:c>
      <x:c r="L205" s="37"/>
      <x:c r="M205" s="42" t="n">
        <x:f>IF(G205="","",INDEX('規格與範圍'!$B$14:$B$23,MATCH(G205,'規格與範圍'!$A$14:$A$23,0)))</x:f>
        <x:v>3.98</x:v>
      </x:c>
      <x:c r="N205" s="42" t="n">
        <x:f>IF(OR(H205="",I205="",M205=""),"",H205*I205*M205/100)</x:f>
        <x:v>247.158</x:v>
      </x:c>
      <x:c r="O205" s="36" t="str">
        <x:v>友愛街 3F梁版往上 鋼筋料單 114.08.28.XLS｜工作表 04｜原列 8｜左欄</x:v>
      </x:c>
    </x:row>
    <x:row r="206" ht="15" hidden="0" customHeight="1">
      <x:c r="A206" s="40" t="str">
        <x:v>04</x:v>
      </x:c>
      <x:c r="B206" s="40" t="str">
        <x:v>4F</x:v>
      </x:c>
      <x:c r="C206" s="40" t="str">
        <x:v>柱牆</x:v>
      </x:c>
      <x:c r="D206" s="40" t="str">
        <x:v>柱 筋</x:v>
      </x:c>
      <x:c r="E206" s="41" t="n">
        <x:v>9</x:v>
      </x:c>
      <x:c r="F206" s="40" t="str">
        <x:v>左欄</x:v>
      </x:c>
      <x:c r="G206" s="38" t="n">
        <x:v>8</x:v>
      </x:c>
      <x:c r="H206" s="37" t="n">
        <x:v>150</x:v>
      </x:c>
      <x:c r="I206" s="37" t="n">
        <x:v>27</x:v>
      </x:c>
      <x:c r="J206" s="37"/>
      <x:c r="K206" s="36" t="n">
        <x:v>150</x:v>
      </x:c>
      <x:c r="L206" s="37"/>
      <x:c r="M206" s="42" t="n">
        <x:f>IF(G206="","",INDEX('規格與範圍'!$B$14:$B$23,MATCH(G206,'規格與範圍'!$A$14:$A$23,0)))</x:f>
        <x:v>3.98</x:v>
      </x:c>
      <x:c r="N206" s="42" t="n">
        <x:f>IF(OR(H206="",I206="",M206=""),"",H206*I206*M206/100)</x:f>
        <x:v>161.19</x:v>
      </x:c>
      <x:c r="O206" s="36" t="str">
        <x:v>友愛街 3F梁版往上 鋼筋料單 114.08.28.XLS｜工作表 04｜原列 9｜左欄</x:v>
      </x:c>
    </x:row>
    <x:row r="207" ht="15" hidden="0" customHeight="1">
      <x:c r="A207" s="40" t="str">
        <x:v>04</x:v>
      </x:c>
      <x:c r="B207" s="40" t="str">
        <x:v>4F</x:v>
      </x:c>
      <x:c r="C207" s="40" t="str">
        <x:v>柱牆</x:v>
      </x:c>
      <x:c r="D207" s="40" t="str">
        <x:v>柱 筋</x:v>
      </x:c>
      <x:c r="E207" s="41" t="n">
        <x:v>11</x:v>
      </x:c>
      <x:c r="F207" s="40" t="str">
        <x:v>左欄</x:v>
      </x:c>
      <x:c r="G207" s="38" t="n">
        <x:v>4</x:v>
      </x:c>
      <x:c r="H207" s="37" t="n">
        <x:v>326</x:v>
      </x:c>
      <x:c r="I207" s="37" t="n">
        <x:v>35</x:v>
      </x:c>
      <x:c r="J207" s="37" t="n">
        <x:v>13</x:v>
      </x:c>
      <x:c r="K207" s="36"/>
      <x:c r="L207" s="37" t="n">
        <x:v>60</x:v>
      </x:c>
      <x:c r="M207" s="42" t="n">
        <x:f>IF(G207="","",INDEX('規格與範圍'!$B$14:$B$23,MATCH(G207,'規格與範圍'!$A$14:$A$23,0)))</x:f>
        <x:v>0.994</x:v>
      </x:c>
      <x:c r="N207" s="42" t="n">
        <x:f>IF(OR(H207="",I207="",M207=""),"",H207*I207*M207/100)</x:f>
        <x:v>113.41539999999999</x:v>
      </x:c>
      <x:c r="O207" s="36" t="str">
        <x:v>友愛街 3F梁版往上 鋼筋料單 114.08.28.XLS｜工作表 04｜原列 11｜左欄</x:v>
      </x:c>
    </x:row>
    <x:row r="208" ht="15" hidden="0" customHeight="1">
      <x:c r="A208" s="40" t="str">
        <x:v>04</x:v>
      </x:c>
      <x:c r="B208" s="40" t="str">
        <x:v>4F</x:v>
      </x:c>
      <x:c r="C208" s="40" t="str">
        <x:v>柱牆</x:v>
      </x:c>
      <x:c r="D208" s="40" t="str">
        <x:v>柱 筋</x:v>
      </x:c>
      <x:c r="E208" s="41" t="n">
        <x:v>13</x:v>
      </x:c>
      <x:c r="F208" s="40" t="str">
        <x:v>左欄</x:v>
      </x:c>
      <x:c r="G208" s="38" t="n">
        <x:v>4</x:v>
      </x:c>
      <x:c r="H208" s="37" t="n">
        <x:v>226</x:v>
      </x:c>
      <x:c r="I208" s="37" t="n">
        <x:v>169</x:v>
      </x:c>
      <x:c r="J208" s="37" t="n">
        <x:v>13</x:v>
      </x:c>
      <x:c r="K208" s="36"/>
      <x:c r="L208" s="37" t="n">
        <x:v>40</x:v>
      </x:c>
      <x:c r="M208" s="42" t="n">
        <x:f>IF(G208="","",INDEX('規格與範圍'!$B$14:$B$23,MATCH(G208,'規格與範圍'!$A$14:$A$23,0)))</x:f>
        <x:v>0.994</x:v>
      </x:c>
      <x:c r="N208" s="42" t="n">
        <x:f>IF(OR(H208="",I208="",M208=""),"",H208*I208*M208/100)</x:f>
        <x:v>379.64836</x:v>
      </x:c>
      <x:c r="O208" s="36" t="str">
        <x:v>友愛街 3F梁版往上 鋼筋料單 114.08.28.XLS｜工作表 04｜原列 13｜左欄</x:v>
      </x:c>
    </x:row>
    <x:row r="209" ht="15" hidden="0" customHeight="1">
      <x:c r="A209" s="40" t="str">
        <x:v>04</x:v>
      </x:c>
      <x:c r="B209" s="40" t="str">
        <x:v>4F</x:v>
      </x:c>
      <x:c r="C209" s="40" t="str">
        <x:v>柱牆</x:v>
      </x:c>
      <x:c r="D209" s="40" t="str">
        <x:v>柱 筋</x:v>
      </x:c>
      <x:c r="E209" s="41" t="n">
        <x:v>15</x:v>
      </x:c>
      <x:c r="F209" s="40" t="str">
        <x:v>左欄</x:v>
      </x:c>
      <x:c r="G209" s="38" t="n">
        <x:v>4</x:v>
      </x:c>
      <x:c r="H209" s="37" t="n">
        <x:v>206</x:v>
      </x:c>
      <x:c r="I209" s="37" t="n">
        <x:v>3</x:v>
      </x:c>
      <x:c r="J209" s="37" t="n">
        <x:v>13</x:v>
      </x:c>
      <x:c r="K209" s="36"/>
      <x:c r="L209" s="37" t="n">
        <x:v>30</x:v>
      </x:c>
      <x:c r="M209" s="42" t="n">
        <x:f>IF(G209="","",INDEX('規格與範圍'!$B$14:$B$23,MATCH(G209,'規格與範圍'!$A$14:$A$23,0)))</x:f>
        <x:v>0.994</x:v>
      </x:c>
      <x:c r="N209" s="42" t="n">
        <x:f>IF(OR(H209="",I209="",M209=""),"",H209*I209*M209/100)</x:f>
        <x:v>6.14292</x:v>
      </x:c>
      <x:c r="O209" s="36" t="str">
        <x:v>友愛街 3F梁版往上 鋼筋料單 114.08.28.XLS｜工作表 04｜原列 15｜左欄</x:v>
      </x:c>
    </x:row>
    <x:row r="210" ht="15" hidden="0" customHeight="1">
      <x:c r="A210" s="40" t="str">
        <x:v>04</x:v>
      </x:c>
      <x:c r="B210" s="40" t="str">
        <x:v>4F</x:v>
      </x:c>
      <x:c r="C210" s="40" t="str">
        <x:v>柱牆</x:v>
      </x:c>
      <x:c r="D210" s="40" t="str">
        <x:v>柱 筋</x:v>
      </x:c>
      <x:c r="E210" s="41" t="n">
        <x:v>18</x:v>
      </x:c>
      <x:c r="F210" s="40" t="str">
        <x:v>左欄</x:v>
      </x:c>
      <x:c r="G210" s="38" t="n">
        <x:v>4</x:v>
      </x:c>
      <x:c r="H210" s="37" t="n">
        <x:v>116</x:v>
      </x:c>
      <x:c r="I210" s="37" t="n">
        <x:v>68</x:v>
      </x:c>
      <x:c r="J210" s="37" t="n">
        <x:v>12</x:v>
      </x:c>
      <x:c r="K210" s="36" t="n">
        <x:v>91</x:v>
      </x:c>
      <x:c r="L210" s="37" t="n">
        <x:v>13</x:v>
      </x:c>
      <x:c r="M210" s="42" t="n">
        <x:f>IF(G210="","",INDEX('規格與範圍'!$B$14:$B$23,MATCH(G210,'規格與範圍'!$A$14:$A$23,0)))</x:f>
        <x:v>0.994</x:v>
      </x:c>
      <x:c r="N210" s="42" t="n">
        <x:f>IF(OR(H210="",I210="",M210=""),"",H210*I210*M210/100)</x:f>
        <x:v>78.40671999999999</x:v>
      </x:c>
      <x:c r="O210" s="36" t="str">
        <x:v>友愛街 3F梁版往上 鋼筋料單 114.08.28.XLS｜工作表 04｜原列 18｜左欄</x:v>
      </x:c>
    </x:row>
    <x:row r="211" ht="15" hidden="0" customHeight="1">
      <x:c r="A211" s="40" t="str">
        <x:v>04</x:v>
      </x:c>
      <x:c r="B211" s="40" t="str">
        <x:v>4F</x:v>
      </x:c>
      <x:c r="C211" s="40" t="str">
        <x:v>柱牆</x:v>
      </x:c>
      <x:c r="D211" s="40" t="str">
        <x:v>柱 筋</x:v>
      </x:c>
      <x:c r="E211" s="41" t="n">
        <x:v>19</x:v>
      </x:c>
      <x:c r="F211" s="40" t="str">
        <x:v>左欄</x:v>
      </x:c>
      <x:c r="G211" s="38" t="n">
        <x:v>4</x:v>
      </x:c>
      <x:c r="H211" s="37" t="n">
        <x:v>86</x:v>
      </x:c>
      <x:c r="I211" s="37" t="n">
        <x:v>434</x:v>
      </x:c>
      <x:c r="J211" s="37" t="n">
        <x:v>12</x:v>
      </x:c>
      <x:c r="K211" s="36" t="n">
        <x:v>61</x:v>
      </x:c>
      <x:c r="L211" s="37" t="n">
        <x:v>13</x:v>
      </x:c>
      <x:c r="M211" s="42" t="n">
        <x:f>IF(G211="","",INDEX('規格與範圍'!$B$14:$B$23,MATCH(G211,'規格與範圍'!$A$14:$A$23,0)))</x:f>
        <x:v>0.994</x:v>
      </x:c>
      <x:c r="N211" s="42" t="n">
        <x:f>IF(OR(H211="",I211="",M211=""),"",H211*I211*M211/100)</x:f>
        <x:v>371.00055999999995</x:v>
      </x:c>
      <x:c r="O211" s="36" t="str">
        <x:v>友愛街 3F梁版往上 鋼筋料單 114.08.28.XLS｜工作表 04｜原列 19｜左欄</x:v>
      </x:c>
    </x:row>
    <x:row r="212" ht="15" hidden="0" customHeight="1">
      <x:c r="A212" s="40" t="str">
        <x:v>04</x:v>
      </x:c>
      <x:c r="B212" s="40" t="str">
        <x:v>4F</x:v>
      </x:c>
      <x:c r="C212" s="40" t="str">
        <x:v>柱牆</x:v>
      </x:c>
      <x:c r="D212" s="40" t="str">
        <x:v>柱 筋</x:v>
      </x:c>
      <x:c r="E212" s="41" t="n">
        <x:v>20</x:v>
      </x:c>
      <x:c r="F212" s="40" t="str">
        <x:v>左欄</x:v>
      </x:c>
      <x:c r="G212" s="38" t="n">
        <x:v>4</x:v>
      </x:c>
      <x:c r="H212" s="37" t="n">
        <x:v>66</x:v>
      </x:c>
      <x:c r="I212" s="37" t="n">
        <x:v>332</x:v>
      </x:c>
      <x:c r="J212" s="37" t="n">
        <x:v>12</x:v>
      </x:c>
      <x:c r="K212" s="36" t="n">
        <x:v>41</x:v>
      </x:c>
      <x:c r="L212" s="37" t="n">
        <x:v>13</x:v>
      </x:c>
      <x:c r="M212" s="42" t="n">
        <x:f>IF(G212="","",INDEX('規格與範圍'!$B$14:$B$23,MATCH(G212,'規格與範圍'!$A$14:$A$23,0)))</x:f>
        <x:v>0.994</x:v>
      </x:c>
      <x:c r="N212" s="42" t="n">
        <x:f>IF(OR(H212="",I212="",M212=""),"",H212*I212*M212/100)</x:f>
        <x:v>217.80527999999998</x:v>
      </x:c>
      <x:c r="O212" s="36" t="str">
        <x:v>友愛街 3F梁版往上 鋼筋料單 114.08.28.XLS｜工作表 04｜原列 20｜左欄</x:v>
      </x:c>
    </x:row>
    <x:row r="213" ht="15" hidden="0" customHeight="1">
      <x:c r="A213" s="40" t="str">
        <x:v>04</x:v>
      </x:c>
      <x:c r="B213" s="40" t="str">
        <x:v>4F</x:v>
      </x:c>
      <x:c r="C213" s="40" t="str">
        <x:v>柱牆</x:v>
      </x:c>
      <x:c r="D213" s="40" t="str">
        <x:v>牆 主 筋</x:v>
      </x:c>
      <x:c r="E213" s="41" t="n">
        <x:v>23</x:v>
      </x:c>
      <x:c r="F213" s="40" t="str">
        <x:v>左欄</x:v>
      </x:c>
      <x:c r="G213" s="38" t="n">
        <x:v>4</x:v>
      </x:c>
      <x:c r="H213" s="37" t="n">
        <x:v>400</x:v>
      </x:c>
      <x:c r="I213" s="37" t="n">
        <x:v>200</x:v>
      </x:c>
      <x:c r="J213" s="37"/>
      <x:c r="K213" s="36" t="n">
        <x:v>400</x:v>
      </x:c>
      <x:c r="L213" s="37"/>
      <x:c r="M213" s="42" t="n">
        <x:f>IF(G213="","",INDEX('規格與範圍'!$B$14:$B$23,MATCH(G213,'規格與範圍'!$A$14:$A$23,0)))</x:f>
        <x:v>0.994</x:v>
      </x:c>
      <x:c r="N213" s="42" t="n">
        <x:f>IF(OR(H213="",I213="",M213=""),"",H213*I213*M213/100)</x:f>
        <x:v>795.2</x:v>
      </x:c>
      <x:c r="O213" s="36" t="str">
        <x:v>友愛街 3F梁版往上 鋼筋料單 114.08.28.XLS｜工作表 04｜原列 23｜左欄</x:v>
      </x:c>
    </x:row>
    <x:row r="214" ht="15" hidden="0" customHeight="1">
      <x:c r="A214" s="40" t="str">
        <x:v>04</x:v>
      </x:c>
      <x:c r="B214" s="40" t="str">
        <x:v>4F</x:v>
      </x:c>
      <x:c r="C214" s="40" t="str">
        <x:v>柱牆</x:v>
      </x:c>
      <x:c r="D214" s="40" t="str">
        <x:v>牆 主 筋</x:v>
      </x:c>
      <x:c r="E214" s="41" t="n">
        <x:v>25</x:v>
      </x:c>
      <x:c r="F214" s="40" t="str">
        <x:v>左欄</x:v>
      </x:c>
      <x:c r="G214" s="38" t="n">
        <x:v>3</x:v>
      </x:c>
      <x:c r="H214" s="37" t="n">
        <x:v>400</x:v>
      </x:c>
      <x:c r="I214" s="37" t="n">
        <x:v>150</x:v>
      </x:c>
      <x:c r="J214" s="37"/>
      <x:c r="K214" s="36" t="n">
        <x:v>400</x:v>
      </x:c>
      <x:c r="L214" s="37"/>
      <x:c r="M214" s="42" t="n">
        <x:f>IF(G214="","",INDEX('規格與範圍'!$B$14:$B$23,MATCH(G214,'規格與範圍'!$A$14:$A$23,0)))</x:f>
        <x:v>0.559</x:v>
      </x:c>
      <x:c r="N214" s="42" t="n">
        <x:f>IF(OR(H214="",I214="",M214=""),"",H214*I214*M214/100)</x:f>
        <x:v>335.4</x:v>
      </x:c>
      <x:c r="O214" s="36" t="str">
        <x:v>友愛街 3F梁版往上 鋼筋料單 114.08.28.XLS｜工作表 04｜原列 25｜左欄</x:v>
      </x:c>
    </x:row>
    <x:row r="215" ht="15" hidden="0" customHeight="1">
      <x:c r="A215" s="40" t="str">
        <x:v>04</x:v>
      </x:c>
      <x:c r="B215" s="40" t="str">
        <x:v>4F</x:v>
      </x:c>
      <x:c r="C215" s="40" t="str">
        <x:v>柱牆</x:v>
      </x:c>
      <x:c r="D215" s="40" t="str">
        <x:v>牆 主 筋</x:v>
      </x:c>
      <x:c r="E215" s="41" t="n">
        <x:v>26</x:v>
      </x:c>
      <x:c r="F215" s="40" t="str">
        <x:v>左欄</x:v>
      </x:c>
      <x:c r="G215" s="38" t="n">
        <x:v>3</x:v>
      </x:c>
      <x:c r="H215" s="37" t="n">
        <x:v>355</x:v>
      </x:c>
      <x:c r="I215" s="37" t="n">
        <x:v>80</x:v>
      </x:c>
      <x:c r="J215" s="37"/>
      <x:c r="K215" s="36" t="n">
        <x:v>355</x:v>
      </x:c>
      <x:c r="L215" s="37"/>
      <x:c r="M215" s="42" t="n">
        <x:f>IF(G215="","",INDEX('規格與範圍'!$B$14:$B$23,MATCH(G215,'規格與範圍'!$A$14:$A$23,0)))</x:f>
        <x:v>0.559</x:v>
      </x:c>
      <x:c r="N215" s="42" t="n">
        <x:f>IF(OR(H215="",I215="",M215=""),"",H215*I215*M215/100)</x:f>
        <x:v>158.75600000000003</x:v>
      </x:c>
      <x:c r="O215" s="36" t="str">
        <x:v>友愛街 3F梁版往上 鋼筋料單 114.08.28.XLS｜工作表 04｜原列 26｜左欄</x:v>
      </x:c>
    </x:row>
    <x:row r="216" ht="15" hidden="0" customHeight="1">
      <x:c r="A216" s="40" t="str">
        <x:v>04</x:v>
      </x:c>
      <x:c r="B216" s="40" t="str">
        <x:v>4F</x:v>
      </x:c>
      <x:c r="C216" s="40" t="str">
        <x:v>柱牆</x:v>
      </x:c>
      <x:c r="D216" s="40" t="str">
        <x:v>牆 主 筋</x:v>
      </x:c>
      <x:c r="E216" s="41" t="n">
        <x:v>27</x:v>
      </x:c>
      <x:c r="F216" s="40" t="str">
        <x:v>左欄</x:v>
      </x:c>
      <x:c r="G216" s="38" t="n">
        <x:v>3</x:v>
      </x:c>
      <x:c r="H216" s="37" t="n">
        <x:v>335</x:v>
      </x:c>
      <x:c r="I216" s="37" t="n">
        <x:v>45</x:v>
      </x:c>
      <x:c r="J216" s="37"/>
      <x:c r="K216" s="36" t="n">
        <x:v>335</x:v>
      </x:c>
      <x:c r="L216" s="37"/>
      <x:c r="M216" s="42" t="n">
        <x:f>IF(G216="","",INDEX('規格與範圍'!$B$14:$B$23,MATCH(G216,'規格與範圍'!$A$14:$A$23,0)))</x:f>
        <x:v>0.559</x:v>
      </x:c>
      <x:c r="N216" s="42" t="n">
        <x:f>IF(OR(H216="",I216="",M216=""),"",H216*I216*M216/100)</x:f>
        <x:v>84.26925000000001</x:v>
      </x:c>
      <x:c r="O216" s="36" t="str">
        <x:v>友愛街 3F梁版往上 鋼筋料單 114.08.28.XLS｜工作表 04｜原列 27｜左欄</x:v>
      </x:c>
    </x:row>
    <x:row r="217" ht="15" hidden="0" customHeight="1">
      <x:c r="A217" s="40" t="str">
        <x:v>04</x:v>
      </x:c>
      <x:c r="B217" s="40" t="str">
        <x:v>4F</x:v>
      </x:c>
      <x:c r="C217" s="40" t="str">
        <x:v>柱牆</x:v>
      </x:c>
      <x:c r="D217" s="40" t="str">
        <x:v>牆 主 筋</x:v>
      </x:c>
      <x:c r="E217" s="41" t="n">
        <x:v>28</x:v>
      </x:c>
      <x:c r="F217" s="40" t="str">
        <x:v>左欄</x:v>
      </x:c>
      <x:c r="G217" s="38" t="n">
        <x:v>3</x:v>
      </x:c>
      <x:c r="H217" s="37" t="n">
        <x:v>135</x:v>
      </x:c>
      <x:c r="I217" s="37" t="n">
        <x:v>250</x:v>
      </x:c>
      <x:c r="J217" s="37"/>
      <x:c r="K217" s="36" t="n">
        <x:v>135</x:v>
      </x:c>
      <x:c r="L217" s="37"/>
      <x:c r="M217" s="42" t="n">
        <x:f>IF(G217="","",INDEX('規格與範圍'!$B$14:$B$23,MATCH(G217,'規格與範圍'!$A$14:$A$23,0)))</x:f>
        <x:v>0.559</x:v>
      </x:c>
      <x:c r="N217" s="42" t="n">
        <x:f>IF(OR(H217="",I217="",M217=""),"",H217*I217*M217/100)</x:f>
        <x:v>188.6625</x:v>
      </x:c>
      <x:c r="O217" s="36" t="str">
        <x:v>友愛街 3F梁版往上 鋼筋料單 114.08.28.XLS｜工作表 04｜原列 28｜左欄</x:v>
      </x:c>
    </x:row>
    <x:row r="218" ht="15" hidden="0" customHeight="1">
      <x:c r="A218" s="40" t="str">
        <x:v>04</x:v>
      </x:c>
      <x:c r="B218" s="40" t="str">
        <x:v>4F</x:v>
      </x:c>
      <x:c r="C218" s="40" t="str">
        <x:v>柱牆</x:v>
      </x:c>
      <x:c r="D218" s="40" t="str">
        <x:v>牆 主 筋</x:v>
      </x:c>
      <x:c r="E218" s="41" t="n">
        <x:v>29</x:v>
      </x:c>
      <x:c r="F218" s="40" t="str">
        <x:v>左欄</x:v>
      </x:c>
      <x:c r="G218" s="38" t="n">
        <x:v>3</x:v>
      </x:c>
      <x:c r="H218" s="37" t="n">
        <x:v>115</x:v>
      </x:c>
      <x:c r="I218" s="37" t="n">
        <x:v>220</x:v>
      </x:c>
      <x:c r="J218" s="37"/>
      <x:c r="K218" s="36" t="n">
        <x:v>115</x:v>
      </x:c>
      <x:c r="L218" s="37"/>
      <x:c r="M218" s="42" t="n">
        <x:f>IF(G218="","",INDEX('規格與範圍'!$B$14:$B$23,MATCH(G218,'規格與範圍'!$A$14:$A$23,0)))</x:f>
        <x:v>0.559</x:v>
      </x:c>
      <x:c r="N218" s="42" t="n">
        <x:f>IF(OR(H218="",I218="",M218=""),"",H218*I218*M218/100)</x:f>
        <x:v>141.42700000000002</x:v>
      </x:c>
      <x:c r="O218" s="36" t="str">
        <x:v>友愛街 3F梁版往上 鋼筋料單 114.08.28.XLS｜工作表 04｜原列 29｜左欄</x:v>
      </x:c>
    </x:row>
    <x:row r="219" ht="15" hidden="0" customHeight="1">
      <x:c r="A219" s="40" t="str">
        <x:v>04</x:v>
      </x:c>
      <x:c r="B219" s="40" t="str">
        <x:v>4F</x:v>
      </x:c>
      <x:c r="C219" s="40" t="str">
        <x:v>柱牆</x:v>
      </x:c>
      <x:c r="D219" s="40" t="str">
        <x:v>牆 主 筋</x:v>
      </x:c>
      <x:c r="E219" s="41" t="n">
        <x:v>30</x:v>
      </x:c>
      <x:c r="F219" s="40" t="str">
        <x:v>左欄</x:v>
      </x:c>
      <x:c r="G219" s="38" t="n">
        <x:v>3</x:v>
      </x:c>
      <x:c r="H219" s="37" t="n">
        <x:v>95</x:v>
      </x:c>
      <x:c r="I219" s="37" t="n">
        <x:v>20</x:v>
      </x:c>
      <x:c r="J219" s="37"/>
      <x:c r="K219" s="36" t="n">
        <x:v>95</x:v>
      </x:c>
      <x:c r="L219" s="37"/>
      <x:c r="M219" s="42" t="n">
        <x:f>IF(G219="","",INDEX('規格與範圍'!$B$14:$B$23,MATCH(G219,'規格與範圍'!$A$14:$A$23,0)))</x:f>
        <x:v>0.559</x:v>
      </x:c>
      <x:c r="N219" s="42" t="n">
        <x:f>IF(OR(H219="",I219="",M219=""),"",H219*I219*M219/100)</x:f>
        <x:v>10.621000000000002</x:v>
      </x:c>
      <x:c r="O219" s="36" t="str">
        <x:v>友愛街 3F梁版往上 鋼筋料單 114.08.28.XLS｜工作表 04｜原列 30｜左欄</x:v>
      </x:c>
    </x:row>
    <x:row r="220" ht="15" hidden="0" customHeight="1">
      <x:c r="A220" s="40" t="str">
        <x:v>04</x:v>
      </x:c>
      <x:c r="B220" s="40" t="str">
        <x:v>4F</x:v>
      </x:c>
      <x:c r="C220" s="40" t="str">
        <x:v>柱牆</x:v>
      </x:c>
      <x:c r="D220" s="40" t="str">
        <x:v>開 口 補 強</x:v>
      </x:c>
      <x:c r="E220" s="41" t="n">
        <x:v>33</x:v>
      </x:c>
      <x:c r="F220" s="40" t="str">
        <x:v>左欄</x:v>
      </x:c>
      <x:c r="G220" s="38" t="n">
        <x:v>5</x:v>
      </x:c>
      <x:c r="H220" s="37" t="n">
        <x:v>400</x:v>
      </x:c>
      <x:c r="I220" s="37" t="n">
        <x:v>16</x:v>
      </x:c>
      <x:c r="J220" s="37"/>
      <x:c r="K220" s="36" t="n">
        <x:v>400</x:v>
      </x:c>
      <x:c r="L220" s="37"/>
      <x:c r="M220" s="42" t="n">
        <x:f>IF(G220="","",INDEX('規格與範圍'!$B$14:$B$23,MATCH(G220,'規格與範圍'!$A$14:$A$23,0)))</x:f>
        <x:v>1.56</x:v>
      </x:c>
      <x:c r="N220" s="42" t="n">
        <x:f>IF(OR(H220="",I220="",M220=""),"",H220*I220*M220/100)</x:f>
        <x:v>99.84</x:v>
      </x:c>
      <x:c r="O220" s="36" t="str">
        <x:v>友愛街 3F梁版往上 鋼筋料單 114.08.28.XLS｜工作表 04｜原列 33｜左欄</x:v>
      </x:c>
    </x:row>
    <x:row r="221" ht="15" hidden="0" customHeight="1">
      <x:c r="A221" s="40" t="str">
        <x:v>04</x:v>
      </x:c>
      <x:c r="B221" s="40" t="str">
        <x:v>4F</x:v>
      </x:c>
      <x:c r="C221" s="40" t="str">
        <x:v>柱牆</x:v>
      </x:c>
      <x:c r="D221" s="40" t="str">
        <x:v>開 口 補 強</x:v>
      </x:c>
      <x:c r="E221" s="41" t="n">
        <x:v>34</x:v>
      </x:c>
      <x:c r="F221" s="40" t="str">
        <x:v>左欄</x:v>
      </x:c>
      <x:c r="G221" s="38" t="n">
        <x:v>5</x:v>
      </x:c>
      <x:c r="H221" s="37" t="n">
        <x:v>120</x:v>
      </x:c>
      <x:c r="I221" s="37" t="n">
        <x:v>4</x:v>
      </x:c>
      <x:c r="J221" s="37"/>
      <x:c r="K221" s="36" t="n">
        <x:v>120</x:v>
      </x:c>
      <x:c r="L221" s="37"/>
      <x:c r="M221" s="42" t="n">
        <x:f>IF(G221="","",INDEX('規格與範圍'!$B$14:$B$23,MATCH(G221,'規格與範圍'!$A$14:$A$23,0)))</x:f>
        <x:v>1.56</x:v>
      </x:c>
      <x:c r="N221" s="42" t="n">
        <x:f>IF(OR(H221="",I221="",M221=""),"",H221*I221*M221/100)</x:f>
        <x:v>7.488</x:v>
      </x:c>
      <x:c r="O221" s="36" t="str">
        <x:v>友愛街 3F梁版往上 鋼筋料單 114.08.28.XLS｜工作表 04｜原列 34｜左欄</x:v>
      </x:c>
    </x:row>
    <x:row r="222" ht="15" hidden="0" customHeight="1">
      <x:c r="A222" s="40" t="str">
        <x:v>04</x:v>
      </x:c>
      <x:c r="B222" s="40" t="str">
        <x:v>4F</x:v>
      </x:c>
      <x:c r="C222" s="40" t="str">
        <x:v>柱牆</x:v>
      </x:c>
      <x:c r="D222" s="40" t="str">
        <x:v>開 口 補 強</x:v>
      </x:c>
      <x:c r="E222" s="41" t="n">
        <x:v>36</x:v>
      </x:c>
      <x:c r="F222" s="40" t="str">
        <x:v>左欄</x:v>
      </x:c>
      <x:c r="G222" s="38" t="n">
        <x:v>4</x:v>
      </x:c>
      <x:c r="H222" s="37" t="n">
        <x:v>400</x:v>
      </x:c>
      <x:c r="I222" s="37" t="n">
        <x:v>224</x:v>
      </x:c>
      <x:c r="J222" s="37"/>
      <x:c r="K222" s="36" t="n">
        <x:v>400</x:v>
      </x:c>
      <x:c r="L222" s="37"/>
      <x:c r="M222" s="42" t="n">
        <x:f>IF(G222="","",INDEX('規格與範圍'!$B$14:$B$23,MATCH(G222,'規格與範圍'!$A$14:$A$23,0)))</x:f>
        <x:v>0.994</x:v>
      </x:c>
      <x:c r="N222" s="42" t="n">
        <x:f>IF(OR(H222="",I222="",M222=""),"",H222*I222*M222/100)</x:f>
        <x:v>890.6239999999999</x:v>
      </x:c>
      <x:c r="O222" s="36" t="str">
        <x:v>友愛街 3F梁版往上 鋼筋料單 114.08.28.XLS｜工作表 04｜原列 36｜左欄</x:v>
      </x:c>
    </x:row>
    <x:row r="223" ht="15" hidden="0" customHeight="1">
      <x:c r="A223" s="40" t="str">
        <x:v>04</x:v>
      </x:c>
      <x:c r="B223" s="40" t="str">
        <x:v>4F</x:v>
      </x:c>
      <x:c r="C223" s="40" t="str">
        <x:v>柱牆</x:v>
      </x:c>
      <x:c r="D223" s="40" t="str">
        <x:v>開 口 補 強</x:v>
      </x:c>
      <x:c r="E223" s="41" t="n">
        <x:v>37</x:v>
      </x:c>
      <x:c r="F223" s="40" t="str">
        <x:v>左欄</x:v>
      </x:c>
      <x:c r="G223" s="38" t="n">
        <x:v>4</x:v>
      </x:c>
      <x:c r="H223" s="37" t="n">
        <x:v>120</x:v>
      </x:c>
      <x:c r="I223" s="37" t="n">
        <x:v>128</x:v>
      </x:c>
      <x:c r="J223" s="37"/>
      <x:c r="K223" s="36" t="n">
        <x:v>120</x:v>
      </x:c>
      <x:c r="L223" s="37"/>
      <x:c r="M223" s="42" t="n">
        <x:f>IF(G223="","",INDEX('規格與範圍'!$B$14:$B$23,MATCH(G223,'規格與範圍'!$A$14:$A$23,0)))</x:f>
        <x:v>0.994</x:v>
      </x:c>
      <x:c r="N223" s="42" t="n">
        <x:f>IF(OR(H223="",I223="",M223=""),"",H223*I223*M223/100)</x:f>
        <x:v>152.6784</x:v>
      </x:c>
      <x:c r="O223" s="36" t="str">
        <x:v>友愛街 3F梁版往上 鋼筋料單 114.08.28.XLS｜工作表 04｜原列 37｜左欄</x:v>
      </x:c>
    </x:row>
    <x:row r="224" ht="15" hidden="0" customHeight="1">
      <x:c r="A224" s="40" t="str">
        <x:v>04</x:v>
      </x:c>
      <x:c r="B224" s="40" t="str">
        <x:v>4F</x:v>
      </x:c>
      <x:c r="C224" s="40" t="str">
        <x:v>柱牆</x:v>
      </x:c>
      <x:c r="D224" s="40" t="str">
        <x:v>牆 間 隔 筋</x:v>
      </x:c>
      <x:c r="E224" s="41" t="n">
        <x:v>40</x:v>
      </x:c>
      <x:c r="F224" s="40" t="str">
        <x:v>左欄</x:v>
      </x:c>
      <x:c r="G224" s="38" t="n">
        <x:v>3</x:v>
      </x:c>
      <x:c r="H224" s="37" t="n">
        <x:v>55</x:v>
      </x:c>
      <x:c r="I224" s="37" t="n">
        <x:v>80</x:v>
      </x:c>
      <x:c r="J224" s="37" t="n">
        <x:v>7</x:v>
      </x:c>
      <x:c r="K224" s="36" t="n">
        <x:v>1830</x:v>
      </x:c>
      <x:c r="L224" s="37"/>
      <x:c r="M224" s="42" t="n">
        <x:f>IF(G224="","",INDEX('規格與範圍'!$B$14:$B$23,MATCH(G224,'規格與範圍'!$A$14:$A$23,0)))</x:f>
        <x:v>0.559</x:v>
      </x:c>
      <x:c r="N224" s="42" t="n">
        <x:f>IF(OR(H224="",I224="",M224=""),"",H224*I224*M224/100)</x:f>
        <x:v>24.596000000000004</x:v>
      </x:c>
      <x:c r="O224" s="36" t="str">
        <x:v>友愛街 3F梁版往上 鋼筋料單 114.08.28.XLS｜工作表 04｜原列 40｜左欄</x:v>
      </x:c>
    </x:row>
    <x:row r="225" ht="15" hidden="0" customHeight="1">
      <x:c r="A225" s="40" t="str">
        <x:v>04</x:v>
      </x:c>
      <x:c r="B225" s="40" t="str">
        <x:v>4F</x:v>
      </x:c>
      <x:c r="C225" s="40" t="str">
        <x:v>柱牆</x:v>
      </x:c>
      <x:c r="D225" s="40" t="str">
        <x:v>牆 副 筋</x:v>
      </x:c>
      <x:c r="E225" s="41" t="n">
        <x:v>5</x:v>
      </x:c>
      <x:c r="F225" s="40" t="str">
        <x:v>右欄</x:v>
      </x:c>
      <x:c r="G225" s="38" t="n">
        <x:v>4</x:v>
      </x:c>
      <x:c r="H225" s="37" t="n">
        <x:v>180</x:v>
      </x:c>
      <x:c r="I225" s="37" t="n">
        <x:v>38</x:v>
      </x:c>
      <x:c r="J225" s="37"/>
      <x:c r="K225" s="36" t="n">
        <x:v>160</x:v>
      </x:c>
      <x:c r="L225" s="37" t="n">
        <x:v>20</x:v>
      </x:c>
      <x:c r="M225" s="42" t="n">
        <x:f>IF(G225="","",INDEX('規格與範圍'!$B$14:$B$23,MATCH(G225,'規格與範圍'!$A$14:$A$23,0)))</x:f>
        <x:v>0.994</x:v>
      </x:c>
      <x:c r="N225" s="42" t="n">
        <x:f>IF(OR(H225="",I225="",M225=""),"",H225*I225*M225/100)</x:f>
        <x:v>67.9896</x:v>
      </x:c>
      <x:c r="O225" s="36" t="str">
        <x:v>友愛街 3F梁版往上 鋼筋料單 114.08.28.XLS｜工作表 04｜原列 5｜右欄</x:v>
      </x:c>
    </x:row>
    <x:row r="226" ht="15" hidden="0" customHeight="1">
      <x:c r="A226" s="40" t="str">
        <x:v>04</x:v>
      </x:c>
      <x:c r="B226" s="40" t="str">
        <x:v>4F</x:v>
      </x:c>
      <x:c r="C226" s="40" t="str">
        <x:v>柱牆</x:v>
      </x:c>
      <x:c r="D226" s="40" t="str">
        <x:v>牆 副 筋</x:v>
      </x:c>
      <x:c r="E226" s="41" t="n">
        <x:v>6</x:v>
      </x:c>
      <x:c r="F226" s="40" t="str">
        <x:v>右欄</x:v>
      </x:c>
      <x:c r="G226" s="38" t="n">
        <x:v>4</x:v>
      </x:c>
      <x:c r="H226" s="37" t="n">
        <x:v>140</x:v>
      </x:c>
      <x:c r="I226" s="37" t="n">
        <x:v>38</x:v>
      </x:c>
      <x:c r="J226" s="37"/>
      <x:c r="K226" s="36" t="n">
        <x:v>100</x:v>
      </x:c>
      <x:c r="L226" s="37" t="n">
        <x:v>40</x:v>
      </x:c>
      <x:c r="M226" s="42" t="n">
        <x:f>IF(G226="","",INDEX('規格與範圍'!$B$14:$B$23,MATCH(G226,'規格與範圍'!$A$14:$A$23,0)))</x:f>
        <x:v>0.994</x:v>
      </x:c>
      <x:c r="N226" s="42" t="n">
        <x:f>IF(OR(H226="",I226="",M226=""),"",H226*I226*M226/100)</x:f>
        <x:v>52.8808</x:v>
      </x:c>
      <x:c r="O226" s="36" t="str">
        <x:v>友愛街 3F梁版往上 鋼筋料單 114.08.28.XLS｜工作表 04｜原列 6｜右欄</x:v>
      </x:c>
    </x:row>
    <x:row r="227" ht="15" hidden="0" customHeight="1">
      <x:c r="A227" s="40" t="str">
        <x:v>04</x:v>
      </x:c>
      <x:c r="B227" s="40" t="str">
        <x:v>4F</x:v>
      </x:c>
      <x:c r="C227" s="40" t="str">
        <x:v>柱牆</x:v>
      </x:c>
      <x:c r="D227" s="40" t="str">
        <x:v>牆 副 筋</x:v>
      </x:c>
      <x:c r="E227" s="41" t="n">
        <x:v>7</x:v>
      </x:c>
      <x:c r="F227" s="40" t="str">
        <x:v>右欄</x:v>
      </x:c>
      <x:c r="G227" s="38" t="n">
        <x:v>4</x:v>
      </x:c>
      <x:c r="H227" s="37" t="n">
        <x:v>385</x:v>
      </x:c>
      <x:c r="I227" s="37" t="n">
        <x:v>24</x:v>
      </x:c>
      <x:c r="J227" s="37"/>
      <x:c r="K227" s="36" t="n">
        <x:v>385</x:v>
      </x:c>
      <x:c r="L227" s="37"/>
      <x:c r="M227" s="42" t="n">
        <x:f>IF(G227="","",INDEX('規格與範圍'!$B$14:$B$23,MATCH(G227,'規格與範圍'!$A$14:$A$23,0)))</x:f>
        <x:v>0.994</x:v>
      </x:c>
      <x:c r="N227" s="42" t="n">
        <x:f>IF(OR(H227="",I227="",M227=""),"",H227*I227*M227/100)</x:f>
        <x:v>91.84559999999999</x:v>
      </x:c>
      <x:c r="O227" s="36" t="str">
        <x:v>友愛街 3F梁版往上 鋼筋料單 114.08.28.XLS｜工作表 04｜原列 7｜右欄</x:v>
      </x:c>
    </x:row>
    <x:row r="228" ht="15" hidden="0" customHeight="1">
      <x:c r="A228" s="40" t="str">
        <x:v>04</x:v>
      </x:c>
      <x:c r="B228" s="40" t="str">
        <x:v>4F</x:v>
      </x:c>
      <x:c r="C228" s="40" t="str">
        <x:v>柱牆</x:v>
      </x:c>
      <x:c r="D228" s="40" t="str">
        <x:v>牆 副 筋</x:v>
      </x:c>
      <x:c r="E228" s="41" t="n">
        <x:v>8</x:v>
      </x:c>
      <x:c r="F228" s="40" t="str">
        <x:v>右欄</x:v>
      </x:c>
      <x:c r="G228" s="38" t="n">
        <x:v>4</x:v>
      </x:c>
      <x:c r="H228" s="37" t="n">
        <x:v>350</x:v>
      </x:c>
      <x:c r="I228" s="37" t="n">
        <x:v>42</x:v>
      </x:c>
      <x:c r="J228" s="37"/>
      <x:c r="K228" s="36" t="n">
        <x:v>350</x:v>
      </x:c>
      <x:c r="L228" s="37"/>
      <x:c r="M228" s="42" t="n">
        <x:f>IF(G228="","",INDEX('規格與範圍'!$B$14:$B$23,MATCH(G228,'規格與範圍'!$A$14:$A$23,0)))</x:f>
        <x:v>0.994</x:v>
      </x:c>
      <x:c r="N228" s="42" t="n">
        <x:f>IF(OR(H228="",I228="",M228=""),"",H228*I228*M228/100)</x:f>
        <x:v>146.118</x:v>
      </x:c>
      <x:c r="O228" s="36" t="str">
        <x:v>友愛街 3F梁版往上 鋼筋料單 114.08.28.XLS｜工作表 04｜原列 8｜右欄</x:v>
      </x:c>
    </x:row>
    <x:row r="229" ht="15" hidden="0" customHeight="1">
      <x:c r="A229" s="40" t="str">
        <x:v>04</x:v>
      </x:c>
      <x:c r="B229" s="40" t="str">
        <x:v>4F</x:v>
      </x:c>
      <x:c r="C229" s="40" t="str">
        <x:v>柱牆</x:v>
      </x:c>
      <x:c r="D229" s="40" t="str">
        <x:v>牆 副 筋</x:v>
      </x:c>
      <x:c r="E229" s="41" t="n">
        <x:v>9</x:v>
      </x:c>
      <x:c r="F229" s="40" t="str">
        <x:v>右欄</x:v>
      </x:c>
      <x:c r="G229" s="38" t="n">
        <x:v>4</x:v>
      </x:c>
      <x:c r="H229" s="37" t="n">
        <x:v>260</x:v>
      </x:c>
      <x:c r="I229" s="37" t="n">
        <x:v>38</x:v>
      </x:c>
      <x:c r="J229" s="37"/>
      <x:c r="K229" s="36" t="n">
        <x:v>260</x:v>
      </x:c>
      <x:c r="L229" s="37"/>
      <x:c r="M229" s="42" t="n">
        <x:f>IF(G229="","",INDEX('規格與範圍'!$B$14:$B$23,MATCH(G229,'規格與範圍'!$A$14:$A$23,0)))</x:f>
        <x:v>0.994</x:v>
      </x:c>
      <x:c r="N229" s="42" t="n">
        <x:f>IF(OR(H229="",I229="",M229=""),"",H229*I229*M229/100)</x:f>
        <x:v>98.2072</x:v>
      </x:c>
      <x:c r="O229" s="36" t="str">
        <x:v>友愛街 3F梁版往上 鋼筋料單 114.08.28.XLS｜工作表 04｜原列 9｜右欄</x:v>
      </x:c>
    </x:row>
    <x:row r="230" ht="15" hidden="0" customHeight="1">
      <x:c r="A230" s="40" t="str">
        <x:v>04</x:v>
      </x:c>
      <x:c r="B230" s="40" t="str">
        <x:v>4F</x:v>
      </x:c>
      <x:c r="C230" s="40" t="str">
        <x:v>柱牆</x:v>
      </x:c>
      <x:c r="D230" s="40" t="str">
        <x:v>牆 副 筋</x:v>
      </x:c>
      <x:c r="E230" s="41" t="n">
        <x:v>10</x:v>
      </x:c>
      <x:c r="F230" s="40" t="str">
        <x:v>右欄</x:v>
      </x:c>
      <x:c r="G230" s="38" t="n">
        <x:v>4</x:v>
      </x:c>
      <x:c r="H230" s="37" t="n">
        <x:v>240</x:v>
      </x:c>
      <x:c r="I230" s="37" t="n">
        <x:v>56</x:v>
      </x:c>
      <x:c r="J230" s="37"/>
      <x:c r="K230" s="36" t="n">
        <x:v>240</x:v>
      </x:c>
      <x:c r="L230" s="37"/>
      <x:c r="M230" s="42" t="n">
        <x:f>IF(G230="","",INDEX('規格與範圍'!$B$14:$B$23,MATCH(G230,'規格與範圍'!$A$14:$A$23,0)))</x:f>
        <x:v>0.994</x:v>
      </x:c>
      <x:c r="N230" s="42" t="n">
        <x:f>IF(OR(H230="",I230="",M230=""),"",H230*I230*M230/100)</x:f>
        <x:v>133.5936</x:v>
      </x:c>
      <x:c r="O230" s="36" t="str">
        <x:v>友愛街 3F梁版往上 鋼筋料單 114.08.28.XLS｜工作表 04｜原列 10｜右欄</x:v>
      </x:c>
    </x:row>
    <x:row r="231" ht="15" hidden="0" customHeight="1">
      <x:c r="A231" s="40" t="str">
        <x:v>04</x:v>
      </x:c>
      <x:c r="B231" s="40" t="str">
        <x:v>4F</x:v>
      </x:c>
      <x:c r="C231" s="40" t="str">
        <x:v>柱牆</x:v>
      </x:c>
      <x:c r="D231" s="40" t="str">
        <x:v>牆 副 筋</x:v>
      </x:c>
      <x:c r="E231" s="41" t="n">
        <x:v>12</x:v>
      </x:c>
      <x:c r="F231" s="40" t="str">
        <x:v>右欄</x:v>
      </x:c>
      <x:c r="G231" s="38" t="n">
        <x:v>3</x:v>
      </x:c>
      <x:c r="H231" s="37" t="n">
        <x:v>350</x:v>
      </x:c>
      <x:c r="I231" s="37" t="n">
        <x:v>18</x:v>
      </x:c>
      <x:c r="J231" s="37"/>
      <x:c r="K231" s="36" t="n">
        <x:v>335</x:v>
      </x:c>
      <x:c r="L231" s="37" t="n">
        <x:v>15</x:v>
      </x:c>
      <x:c r="M231" s="42" t="n">
        <x:f>IF(G231="","",INDEX('規格與範圍'!$B$14:$B$23,MATCH(G231,'規格與範圍'!$A$14:$A$23,0)))</x:f>
        <x:v>0.559</x:v>
      </x:c>
      <x:c r="N231" s="42" t="n">
        <x:f>IF(OR(H231="",I231="",M231=""),"",H231*I231*M231/100)</x:f>
        <x:v>35.217000000000006</x:v>
      </x:c>
      <x:c r="O231" s="36" t="str">
        <x:v>友愛街 3F梁版往上 鋼筋料單 114.08.28.XLS｜工作表 04｜原列 12｜右欄</x:v>
      </x:c>
    </x:row>
    <x:row r="232" ht="15" hidden="0" customHeight="1">
      <x:c r="A232" s="40" t="str">
        <x:v>04</x:v>
      </x:c>
      <x:c r="B232" s="40" t="str">
        <x:v>4F</x:v>
      </x:c>
      <x:c r="C232" s="40" t="str">
        <x:v>柱牆</x:v>
      </x:c>
      <x:c r="D232" s="40" t="str">
        <x:v>牆 副 筋</x:v>
      </x:c>
      <x:c r="E232" s="41" t="n">
        <x:v>13</x:v>
      </x:c>
      <x:c r="F232" s="40" t="str">
        <x:v>右欄</x:v>
      </x:c>
      <x:c r="G232" s="38" t="n">
        <x:v>3</x:v>
      </x:c>
      <x:c r="H232" s="37" t="n">
        <x:v>250</x:v>
      </x:c>
      <x:c r="I232" s="37" t="n">
        <x:v>20</x:v>
      </x:c>
      <x:c r="J232" s="37"/>
      <x:c r="K232" s="36" t="n">
        <x:v>235</x:v>
      </x:c>
      <x:c r="L232" s="37" t="n">
        <x:v>15</x:v>
      </x:c>
      <x:c r="M232" s="42" t="n">
        <x:f>IF(G232="","",INDEX('規格與範圍'!$B$14:$B$23,MATCH(G232,'規格與範圍'!$A$14:$A$23,0)))</x:f>
        <x:v>0.559</x:v>
      </x:c>
      <x:c r="N232" s="42" t="n">
        <x:f>IF(OR(H232="",I232="",M232=""),"",H232*I232*M232/100)</x:f>
        <x:v>27.950000000000003</x:v>
      </x:c>
      <x:c r="O232" s="36" t="str">
        <x:v>友愛街 3F梁版往上 鋼筋料單 114.08.28.XLS｜工作表 04｜原列 13｜右欄</x:v>
      </x:c>
    </x:row>
    <x:row r="233" ht="15" hidden="0" customHeight="1">
      <x:c r="A233" s="40" t="str">
        <x:v>04</x:v>
      </x:c>
      <x:c r="B233" s="40" t="str">
        <x:v>4F</x:v>
      </x:c>
      <x:c r="C233" s="40" t="str">
        <x:v>柱牆</x:v>
      </x:c>
      <x:c r="D233" s="40" t="str">
        <x:v>牆 副 筋</x:v>
      </x:c>
      <x:c r="E233" s="41" t="n">
        <x:v>14</x:v>
      </x:c>
      <x:c r="F233" s="40" t="str">
        <x:v>右欄</x:v>
      </x:c>
      <x:c r="G233" s="38" t="n">
        <x:v>3</x:v>
      </x:c>
      <x:c r="H233" s="37" t="n">
        <x:v>200</x:v>
      </x:c>
      <x:c r="I233" s="37" t="n">
        <x:v>20</x:v>
      </x:c>
      <x:c r="J233" s="37"/>
      <x:c r="K233" s="36" t="n">
        <x:v>185</x:v>
      </x:c>
      <x:c r="L233" s="37" t="n">
        <x:v>15</x:v>
      </x:c>
      <x:c r="M233" s="42" t="n">
        <x:f>IF(G233="","",INDEX('規格與範圍'!$B$14:$B$23,MATCH(G233,'規格與範圍'!$A$14:$A$23,0)))</x:f>
        <x:v>0.559</x:v>
      </x:c>
      <x:c r="N233" s="42" t="n">
        <x:f>IF(OR(H233="",I233="",M233=""),"",H233*I233*M233/100)</x:f>
        <x:v>22.36</x:v>
      </x:c>
      <x:c r="O233" s="36" t="str">
        <x:v>友愛街 3F梁版往上 鋼筋料單 114.08.28.XLS｜工作表 04｜原列 14｜右欄</x:v>
      </x:c>
    </x:row>
    <x:row r="234" ht="15" hidden="0" customHeight="1">
      <x:c r="A234" s="40" t="str">
        <x:v>04</x:v>
      </x:c>
      <x:c r="B234" s="40" t="str">
        <x:v>4F</x:v>
      </x:c>
      <x:c r="C234" s="40" t="str">
        <x:v>柱牆</x:v>
      </x:c>
      <x:c r="D234" s="40" t="str">
        <x:v>牆 副 筋</x:v>
      </x:c>
      <x:c r="E234" s="41" t="n">
        <x:v>15</x:v>
      </x:c>
      <x:c r="F234" s="40" t="str">
        <x:v>右欄</x:v>
      </x:c>
      <x:c r="G234" s="38" t="n">
        <x:v>3</x:v>
      </x:c>
      <x:c r="H234" s="37" t="n">
        <x:v>160</x:v>
      </x:c>
      <x:c r="I234" s="37" t="n">
        <x:v>122</x:v>
      </x:c>
      <x:c r="J234" s="37"/>
      <x:c r="K234" s="36" t="n">
        <x:v>145</x:v>
      </x:c>
      <x:c r="L234" s="37" t="n">
        <x:v>15</x:v>
      </x:c>
      <x:c r="M234" s="42" t="n">
        <x:f>IF(G234="","",INDEX('規格與範圍'!$B$14:$B$23,MATCH(G234,'規格與範圍'!$A$14:$A$23,0)))</x:f>
        <x:v>0.559</x:v>
      </x:c>
      <x:c r="N234" s="42" t="n">
        <x:f>IF(OR(H234="",I234="",M234=""),"",H234*I234*M234/100)</x:f>
        <x:v>109.1168</x:v>
      </x:c>
      <x:c r="O234" s="36" t="str">
        <x:v>友愛街 3F梁版往上 鋼筋料單 114.08.28.XLS｜工作表 04｜原列 15｜右欄</x:v>
      </x:c>
    </x:row>
    <x:row r="235" ht="15" hidden="0" customHeight="1">
      <x:c r="A235" s="40" t="str">
        <x:v>04</x:v>
      </x:c>
      <x:c r="B235" s="40" t="str">
        <x:v>4F</x:v>
      </x:c>
      <x:c r="C235" s="40" t="str">
        <x:v>柱牆</x:v>
      </x:c>
      <x:c r="D235" s="40" t="str">
        <x:v>牆 副 筋</x:v>
      </x:c>
      <x:c r="E235" s="41" t="n">
        <x:v>16</x:v>
      </x:c>
      <x:c r="F235" s="40" t="str">
        <x:v>右欄</x:v>
      </x:c>
      <x:c r="G235" s="38" t="n">
        <x:v>3</x:v>
      </x:c>
      <x:c r="H235" s="37" t="n">
        <x:v>200</x:v>
      </x:c>
      <x:c r="I235" s="37" t="n">
        <x:v>96</x:v>
      </x:c>
      <x:c r="J235" s="37"/>
      <x:c r="K235" s="36" t="n">
        <x:v>120</x:v>
      </x:c>
      <x:c r="L235" s="37" t="n">
        <x:v>80</x:v>
      </x:c>
      <x:c r="M235" s="42" t="n">
        <x:f>IF(G235="","",INDEX('規格與範圍'!$B$14:$B$23,MATCH(G235,'規格與範圍'!$A$14:$A$23,0)))</x:f>
        <x:v>0.559</x:v>
      </x:c>
      <x:c r="N235" s="42" t="n">
        <x:f>IF(OR(H235="",I235="",M235=""),"",H235*I235*M235/100)</x:f>
        <x:v>107.32800000000002</x:v>
      </x:c>
      <x:c r="O235" s="36" t="str">
        <x:v>友愛街 3F梁版往上 鋼筋料單 114.08.28.XLS｜工作表 04｜原列 16｜右欄</x:v>
      </x:c>
    </x:row>
    <x:row r="236" ht="15" hidden="0" customHeight="1">
      <x:c r="A236" s="40" t="str">
        <x:v>04</x:v>
      </x:c>
      <x:c r="B236" s="40" t="str">
        <x:v>4F</x:v>
      </x:c>
      <x:c r="C236" s="40" t="str">
        <x:v>柱牆</x:v>
      </x:c>
      <x:c r="D236" s="40" t="str">
        <x:v>牆 副 筋</x:v>
      </x:c>
      <x:c r="E236" s="41" t="n">
        <x:v>17</x:v>
      </x:c>
      <x:c r="F236" s="40" t="str">
        <x:v>右欄</x:v>
      </x:c>
      <x:c r="G236" s="38" t="n">
        <x:v>3</x:v>
      </x:c>
      <x:c r="H236" s="37" t="n">
        <x:v>150</x:v>
      </x:c>
      <x:c r="I236" s="37" t="n">
        <x:v>12</x:v>
      </x:c>
      <x:c r="J236" s="37"/>
      <x:c r="K236" s="36" t="n">
        <x:v>120</x:v>
      </x:c>
      <x:c r="L236" s="37" t="n">
        <x:v>30</x:v>
      </x:c>
      <x:c r="M236" s="42" t="n">
        <x:f>IF(G236="","",INDEX('規格與範圍'!$B$14:$B$23,MATCH(G236,'規格與範圍'!$A$14:$A$23,0)))</x:f>
        <x:v>0.559</x:v>
      </x:c>
      <x:c r="N236" s="42" t="n">
        <x:f>IF(OR(H236="",I236="",M236=""),"",H236*I236*M236/100)</x:f>
        <x:v>10.062000000000001</x:v>
      </x:c>
      <x:c r="O236" s="36" t="str">
        <x:v>友愛街 3F梁版往上 鋼筋料單 114.08.28.XLS｜工作表 04｜原列 17｜右欄</x:v>
      </x:c>
    </x:row>
    <x:row r="237" ht="15" hidden="0" customHeight="1">
      <x:c r="A237" s="40" t="str">
        <x:v>04</x:v>
      </x:c>
      <x:c r="B237" s="40" t="str">
        <x:v>4F</x:v>
      </x:c>
      <x:c r="C237" s="40" t="str">
        <x:v>柱牆</x:v>
      </x:c>
      <x:c r="D237" s="40" t="str">
        <x:v>牆 副 筋</x:v>
      </x:c>
      <x:c r="E237" s="41" t="n">
        <x:v>18</x:v>
      </x:c>
      <x:c r="F237" s="40" t="str">
        <x:v>右欄</x:v>
      </x:c>
      <x:c r="G237" s="38" t="n">
        <x:v>3</x:v>
      </x:c>
      <x:c r="H237" s="37" t="n">
        <x:v>120</x:v>
      </x:c>
      <x:c r="I237" s="37" t="n">
        <x:v>20</x:v>
      </x:c>
      <x:c r="J237" s="37"/>
      <x:c r="K237" s="36" t="n">
        <x:v>105</x:v>
      </x:c>
      <x:c r="L237" s="37" t="n">
        <x:v>15</x:v>
      </x:c>
      <x:c r="M237" s="42" t="n">
        <x:f>IF(G237="","",INDEX('規格與範圍'!$B$14:$B$23,MATCH(G237,'規格與範圍'!$A$14:$A$23,0)))</x:f>
        <x:v>0.559</x:v>
      </x:c>
      <x:c r="N237" s="42" t="n">
        <x:f>IF(OR(H237="",I237="",M237=""),"",H237*I237*M237/100)</x:f>
        <x:v>13.416000000000002</x:v>
      </x:c>
      <x:c r="O237" s="36" t="str">
        <x:v>友愛街 3F梁版往上 鋼筋料單 114.08.28.XLS｜工作表 04｜原列 18｜右欄</x:v>
      </x:c>
    </x:row>
    <x:row r="238" ht="15" hidden="0" customHeight="1">
      <x:c r="A238" s="40" t="str">
        <x:v>04</x:v>
      </x:c>
      <x:c r="B238" s="40" t="str">
        <x:v>4F</x:v>
      </x:c>
      <x:c r="C238" s="40" t="str">
        <x:v>柱牆</x:v>
      </x:c>
      <x:c r="D238" s="40" t="str">
        <x:v>牆 副 筋</x:v>
      </x:c>
      <x:c r="E238" s="41" t="n">
        <x:v>19</x:v>
      </x:c>
      <x:c r="F238" s="40" t="str">
        <x:v>右欄</x:v>
      </x:c>
      <x:c r="G238" s="38" t="n">
        <x:v>3</x:v>
      </x:c>
      <x:c r="H238" s="37" t="n">
        <x:v>100</x:v>
      </x:c>
      <x:c r="I238" s="37" t="n">
        <x:v>38</x:v>
      </x:c>
      <x:c r="J238" s="37"/>
      <x:c r="K238" s="36" t="n">
        <x:v>85</x:v>
      </x:c>
      <x:c r="L238" s="37" t="n">
        <x:v>15</x:v>
      </x:c>
      <x:c r="M238" s="42" t="n">
        <x:f>IF(G238="","",INDEX('規格與範圍'!$B$14:$B$23,MATCH(G238,'規格與範圍'!$A$14:$A$23,0)))</x:f>
        <x:v>0.559</x:v>
      </x:c>
      <x:c r="N238" s="42" t="n">
        <x:f>IF(OR(H238="",I238="",M238=""),"",H238*I238*M238/100)</x:f>
        <x:v>21.242000000000004</x:v>
      </x:c>
      <x:c r="O238" s="36" t="str">
        <x:v>友愛街 3F梁版往上 鋼筋料單 114.08.28.XLS｜工作表 04｜原列 19｜右欄</x:v>
      </x:c>
    </x:row>
    <x:row r="239" ht="15" hidden="0" customHeight="1">
      <x:c r="A239" s="40" t="str">
        <x:v>04</x:v>
      </x:c>
      <x:c r="B239" s="40" t="str">
        <x:v>4F</x:v>
      </x:c>
      <x:c r="C239" s="40" t="str">
        <x:v>柱牆</x:v>
      </x:c>
      <x:c r="D239" s="40" t="str">
        <x:v>牆 副 筋</x:v>
      </x:c>
      <x:c r="E239" s="41" t="n">
        <x:v>20</x:v>
      </x:c>
      <x:c r="F239" s="40" t="str">
        <x:v>右欄</x:v>
      </x:c>
      <x:c r="G239" s="38" t="n">
        <x:v>3</x:v>
      </x:c>
      <x:c r="H239" s="37" t="n">
        <x:v>375</x:v>
      </x:c>
      <x:c r="I239" s="37" t="n">
        <x:v>202</x:v>
      </x:c>
      <x:c r="J239" s="37"/>
      <x:c r="K239" s="36" t="n">
        <x:v>375</x:v>
      </x:c>
      <x:c r="L239" s="37"/>
      <x:c r="M239" s="42" t="n">
        <x:f>IF(G239="","",INDEX('規格與範圍'!$B$14:$B$23,MATCH(G239,'規格與範圍'!$A$14:$A$23,0)))</x:f>
        <x:v>0.559</x:v>
      </x:c>
      <x:c r="N239" s="42" t="n">
        <x:f>IF(OR(H239="",I239="",M239=""),"",H239*I239*M239/100)</x:f>
        <x:v>423.44250000000005</x:v>
      </x:c>
      <x:c r="O239" s="36" t="str">
        <x:v>友愛街 3F梁版往上 鋼筋料單 114.08.28.XLS｜工作表 04｜原列 20｜右欄</x:v>
      </x:c>
    </x:row>
    <x:row r="240" ht="15" hidden="0" customHeight="1">
      <x:c r="A240" s="40" t="str">
        <x:v>04</x:v>
      </x:c>
      <x:c r="B240" s="40" t="str">
        <x:v>4F</x:v>
      </x:c>
      <x:c r="C240" s="40" t="str">
        <x:v>柱牆</x:v>
      </x:c>
      <x:c r="D240" s="40" t="str">
        <x:v>牆 副 筋</x:v>
      </x:c>
      <x:c r="E240" s="41" t="n">
        <x:v>21</x:v>
      </x:c>
      <x:c r="F240" s="40" t="str">
        <x:v>右欄</x:v>
      </x:c>
      <x:c r="G240" s="38" t="n">
        <x:v>3</x:v>
      </x:c>
      <x:c r="H240" s="37" t="n">
        <x:v>215</x:v>
      </x:c>
      <x:c r="I240" s="37" t="n">
        <x:v>10</x:v>
      </x:c>
      <x:c r="J240" s="37"/>
      <x:c r="K240" s="36" t="n">
        <x:v>215</x:v>
      </x:c>
      <x:c r="L240" s="37"/>
      <x:c r="M240" s="42" t="n">
        <x:f>IF(G240="","",INDEX('規格與範圍'!$B$14:$B$23,MATCH(G240,'規格與範圍'!$A$14:$A$23,0)))</x:f>
        <x:v>0.559</x:v>
      </x:c>
      <x:c r="N240" s="42" t="n">
        <x:f>IF(OR(H240="",I240="",M240=""),"",H240*I240*M240/100)</x:f>
        <x:v>12.018500000000001</x:v>
      </x:c>
      <x:c r="O240" s="36" t="str">
        <x:v>友愛街 3F梁版往上 鋼筋料單 114.08.28.XLS｜工作表 04｜原列 21｜右欄</x:v>
      </x:c>
    </x:row>
    <x:row r="241" ht="15" hidden="0" customHeight="1">
      <x:c r="A241" s="40" t="str">
        <x:v>04</x:v>
      </x:c>
      <x:c r="B241" s="40" t="str">
        <x:v>4F</x:v>
      </x:c>
      <x:c r="C241" s="40" t="str">
        <x:v>柱牆</x:v>
      </x:c>
      <x:c r="D241" s="40" t="str">
        <x:v>牆 副 筋</x:v>
      </x:c>
      <x:c r="E241" s="41" t="n">
        <x:v>22</x:v>
      </x:c>
      <x:c r="F241" s="40" t="str">
        <x:v>右欄</x:v>
      </x:c>
      <x:c r="G241" s="38" t="n">
        <x:v>3</x:v>
      </x:c>
      <x:c r="H241" s="37" t="n">
        <x:v>175</x:v>
      </x:c>
      <x:c r="I241" s="37" t="n">
        <x:v>42</x:v>
      </x:c>
      <x:c r="J241" s="37"/>
      <x:c r="K241" s="36" t="n">
        <x:v>175</x:v>
      </x:c>
      <x:c r="L241" s="37"/>
      <x:c r="M241" s="42" t="n">
        <x:f>IF(G241="","",INDEX('規格與範圍'!$B$14:$B$23,MATCH(G241,'規格與範圍'!$A$14:$A$23,0)))</x:f>
        <x:v>0.559</x:v>
      </x:c>
      <x:c r="N241" s="42" t="n">
        <x:f>IF(OR(H241="",I241="",M241=""),"",H241*I241*M241/100)</x:f>
        <x:v>41.08650000000001</x:v>
      </x:c>
      <x:c r="O241" s="36" t="str">
        <x:v>友愛街 3F梁版往上 鋼筋料單 114.08.28.XLS｜工作表 04｜原列 22｜右欄</x:v>
      </x:c>
    </x:row>
    <x:row r="242" ht="15" hidden="0" customHeight="1">
      <x:c r="A242" s="40" t="str">
        <x:v>04</x:v>
      </x:c>
      <x:c r="B242" s="40" t="str">
        <x:v>4F</x:v>
      </x:c>
      <x:c r="C242" s="40" t="str">
        <x:v>柱牆</x:v>
      </x:c>
      <x:c r="D242" s="40" t="str">
        <x:v>牆 副 筋</x:v>
      </x:c>
      <x:c r="E242" s="41" t="n">
        <x:v>23</x:v>
      </x:c>
      <x:c r="F242" s="40" t="str">
        <x:v>右欄</x:v>
      </x:c>
      <x:c r="G242" s="38" t="n">
        <x:v>3</x:v>
      </x:c>
      <x:c r="H242" s="37" t="n">
        <x:v>140</x:v>
      </x:c>
      <x:c r="I242" s="37" t="n">
        <x:v>26</x:v>
      </x:c>
      <x:c r="J242" s="37"/>
      <x:c r="K242" s="36" t="n">
        <x:v>140</x:v>
      </x:c>
      <x:c r="L242" s="37"/>
      <x:c r="M242" s="42" t="n">
        <x:f>IF(G242="","",INDEX('規格與範圍'!$B$14:$B$23,MATCH(G242,'規格與範圍'!$A$14:$A$23,0)))</x:f>
        <x:v>0.559</x:v>
      </x:c>
      <x:c r="N242" s="42" t="n">
        <x:f>IF(OR(H242="",I242="",M242=""),"",H242*I242*M242/100)</x:f>
        <x:v>20.347600000000003</x:v>
      </x:c>
      <x:c r="O242" s="36" t="str">
        <x:v>友愛街 3F梁版往上 鋼筋料單 114.08.28.XLS｜工作表 04｜原列 23｜右欄</x:v>
      </x:c>
    </x:row>
    <x:row r="243" ht="15" hidden="0" customHeight="1">
      <x:c r="A243" s="40" t="str">
        <x:v>04</x:v>
      </x:c>
      <x:c r="B243" s="40" t="str">
        <x:v>4F</x:v>
      </x:c>
      <x:c r="C243" s="40" t="str">
        <x:v>柱牆</x:v>
      </x:c>
      <x:c r="D243" s="40" t="str">
        <x:v>牆 副 筋</x:v>
      </x:c>
      <x:c r="E243" s="41" t="n">
        <x:v>24</x:v>
      </x:c>
      <x:c r="F243" s="40" t="str">
        <x:v>右欄</x:v>
      </x:c>
      <x:c r="G243" s="38" t="n">
        <x:v>3</x:v>
      </x:c>
      <x:c r="H243" s="37" t="n">
        <x:v>105</x:v>
      </x:c>
      <x:c r="I243" s="37" t="n">
        <x:v>12</x:v>
      </x:c>
      <x:c r="J243" s="37"/>
      <x:c r="K243" s="36" t="n">
        <x:v>105</x:v>
      </x:c>
      <x:c r="L243" s="37"/>
      <x:c r="M243" s="42" t="n">
        <x:f>IF(G243="","",INDEX('規格與範圍'!$B$14:$B$23,MATCH(G243,'規格與範圍'!$A$14:$A$23,0)))</x:f>
        <x:v>0.559</x:v>
      </x:c>
      <x:c r="N243" s="42" t="n">
        <x:f>IF(OR(H243="",I243="",M243=""),"",H243*I243*M243/100)</x:f>
        <x:v>7.0434</x:v>
      </x:c>
      <x:c r="O243" s="36" t="str">
        <x:v>友愛街 3F梁版往上 鋼筋料單 114.08.28.XLS｜工作表 04｜原列 24｜右欄</x:v>
      </x:c>
    </x:row>
    <x:row r="244" ht="15" hidden="0" customHeight="1">
      <x:c r="A244" s="40" t="str">
        <x:v>04</x:v>
      </x:c>
      <x:c r="B244" s="40" t="str">
        <x:v>4F</x:v>
      </x:c>
      <x:c r="C244" s="40" t="str">
        <x:v>柱牆</x:v>
      </x:c>
      <x:c r="D244" s="40" t="str">
        <x:v>牆 副 筋</x:v>
      </x:c>
      <x:c r="E244" s="41" t="n">
        <x:v>25</x:v>
      </x:c>
      <x:c r="F244" s="40" t="str">
        <x:v>右欄</x:v>
      </x:c>
      <x:c r="G244" s="38" t="n">
        <x:v>3</x:v>
      </x:c>
      <x:c r="H244" s="37" t="n">
        <x:v>90</x:v>
      </x:c>
      <x:c r="I244" s="37" t="n">
        <x:v>10</x:v>
      </x:c>
      <x:c r="J244" s="37"/>
      <x:c r="K244" s="36" t="n">
        <x:v>90</x:v>
      </x:c>
      <x:c r="L244" s="37"/>
      <x:c r="M244" s="42" t="n">
        <x:f>IF(G244="","",INDEX('規格與範圍'!$B$14:$B$23,MATCH(G244,'規格與範圍'!$A$14:$A$23,0)))</x:f>
        <x:v>0.559</x:v>
      </x:c>
      <x:c r="N244" s="42" t="n">
        <x:f>IF(OR(H244="",I244="",M244=""),"",H244*I244*M244/100)</x:f>
        <x:v>5.031000000000001</x:v>
      </x:c>
      <x:c r="O244" s="36" t="str">
        <x:v>友愛街 3F梁版往上 鋼筋料單 114.08.28.XLS｜工作表 04｜原列 25｜右欄</x:v>
      </x:c>
    </x:row>
    <x:row r="245" ht="15" hidden="0" customHeight="1">
      <x:c r="A245" s="40" t="str">
        <x:v>04</x:v>
      </x:c>
      <x:c r="B245" s="40" t="str">
        <x:v>4F</x:v>
      </x:c>
      <x:c r="C245" s="40" t="str">
        <x:v>柱牆</x:v>
      </x:c>
      <x:c r="D245" s="40" t="str">
        <x:v>牆 副 筋</x:v>
      </x:c>
      <x:c r="E245" s="41" t="n">
        <x:v>26</x:v>
      </x:c>
      <x:c r="F245" s="40" t="str">
        <x:v>右欄</x:v>
      </x:c>
      <x:c r="G245" s="38" t="n">
        <x:v>3</x:v>
      </x:c>
      <x:c r="H245" s="37" t="n">
        <x:v>70</x:v>
      </x:c>
      <x:c r="I245" s="37" t="n">
        <x:v>12</x:v>
      </x:c>
      <x:c r="J245" s="37"/>
      <x:c r="K245" s="36" t="n">
        <x:v>70</x:v>
      </x:c>
      <x:c r="L245" s="37"/>
      <x:c r="M245" s="42" t="n">
        <x:f>IF(G245="","",INDEX('規格與範圍'!$B$14:$B$23,MATCH(G245,'規格與範圍'!$A$14:$A$23,0)))</x:f>
        <x:v>0.559</x:v>
      </x:c>
      <x:c r="N245" s="42" t="n">
        <x:f>IF(OR(H245="",I245="",M245=""),"",H245*I245*M245/100)</x:f>
        <x:v>4.695600000000001</x:v>
      </x:c>
      <x:c r="O245" s="36" t="str">
        <x:v>友愛街 3F梁版往上 鋼筋料單 114.08.28.XLS｜工作表 04｜原列 26｜右欄</x:v>
      </x:c>
    </x:row>
    <x:row r="246" ht="15" hidden="0" customHeight="1">
      <x:c r="A246" s="40" t="str">
        <x:v>04</x:v>
      </x:c>
      <x:c r="B246" s="40" t="str">
        <x:v>4F</x:v>
      </x:c>
      <x:c r="C246" s="40" t="str">
        <x:v>柱牆</x:v>
      </x:c>
      <x:c r="D246" s="40" t="str">
        <x:v>牆 副 筋</x:v>
      </x:c>
      <x:c r="E246" s="41" t="n">
        <x:v>27</x:v>
      </x:c>
      <x:c r="F246" s="40" t="str">
        <x:v>右欄</x:v>
      </x:c>
      <x:c r="G246" s="38" t="n">
        <x:v>3</x:v>
      </x:c>
      <x:c r="H246" s="37" t="n">
        <x:v>50</x:v>
      </x:c>
      <x:c r="I246" s="37" t="n">
        <x:v>28</x:v>
      </x:c>
      <x:c r="J246" s="37"/>
      <x:c r="K246" s="36" t="n">
        <x:v>50</x:v>
      </x:c>
      <x:c r="L246" s="37"/>
      <x:c r="M246" s="42" t="n">
        <x:f>IF(G246="","",INDEX('規格與範圍'!$B$14:$B$23,MATCH(G246,'規格與範圍'!$A$14:$A$23,0)))</x:f>
        <x:v>0.559</x:v>
      </x:c>
      <x:c r="N246" s="42" t="n">
        <x:f>IF(OR(H246="",I246="",M246=""),"",H246*I246*M246/100)</x:f>
        <x:v>7.8260000000000005</x:v>
      </x:c>
      <x:c r="O246" s="36" t="str">
        <x:v>友愛街 3F梁版往上 鋼筋料單 114.08.28.XLS｜工作表 04｜原列 27｜右欄</x:v>
      </x:c>
    </x:row>
    <x:row r="247" ht="15" hidden="0" customHeight="1">
      <x:c r="A247" s="40" t="str">
        <x:v>04</x:v>
      </x:c>
      <x:c r="B247" s="40" t="str">
        <x:v>4F</x:v>
      </x:c>
      <x:c r="C247" s="40" t="str">
        <x:v>柱牆</x:v>
      </x:c>
      <x:c r="D247" s="40" t="str">
        <x:v>牆 副 筋</x:v>
      </x:c>
      <x:c r="E247" s="41" t="n">
        <x:v>29</x:v>
      </x:c>
      <x:c r="F247" s="40" t="str">
        <x:v>右欄</x:v>
      </x:c>
      <x:c r="G247" s="38" t="n">
        <x:v>3</x:v>
      </x:c>
      <x:c r="H247" s="37" t="n">
        <x:v>150</x:v>
      </x:c>
      <x:c r="I247" s="37" t="n">
        <x:v>42</x:v>
      </x:c>
      <x:c r="J247" s="37" t="n">
        <x:v>70</x:v>
      </x:c>
      <x:c r="K247" s="36" t="n">
        <x:v>10</x:v>
      </x:c>
      <x:c r="L247" s="37" t="n">
        <x:v>70</x:v>
      </x:c>
      <x:c r="M247" s="42" t="n">
        <x:f>IF(G247="","",INDEX('規格與範圍'!$B$14:$B$23,MATCH(G247,'規格與範圍'!$A$14:$A$23,0)))</x:f>
        <x:v>0.559</x:v>
      </x:c>
      <x:c r="N247" s="42" t="n">
        <x:f>IF(OR(H247="",I247="",M247=""),"",H247*I247*M247/100)</x:f>
        <x:v>35.217000000000006</x:v>
      </x:c>
      <x:c r="O247" s="36" t="str">
        <x:v>友愛街 3F梁版往上 鋼筋料單 114.08.28.XLS｜工作表 04｜原列 29｜右欄</x:v>
      </x:c>
    </x:row>
    <x:row r="248" ht="15" hidden="0" customHeight="1">
      <x:c r="A248" s="40" t="str">
        <x:v>04</x:v>
      </x:c>
      <x:c r="B248" s="40" t="str">
        <x:v>4F</x:v>
      </x:c>
      <x:c r="C248" s="40" t="str">
        <x:v>柱牆</x:v>
      </x:c>
      <x:c r="D248" s="40" t="str">
        <x:v>擴 柱</x:v>
      </x:c>
      <x:c r="E248" s="41" t="n">
        <x:v>33</x:v>
      </x:c>
      <x:c r="F248" s="40" t="str">
        <x:v>右欄</x:v>
      </x:c>
      <x:c r="G248" s="38" t="n">
        <x:v>4</x:v>
      </x:c>
      <x:c r="H248" s="37" t="n">
        <x:v>100</x:v>
      </x:c>
      <x:c r="I248" s="37" t="n">
        <x:v>14</x:v>
      </x:c>
      <x:c r="J248" s="37" t="n">
        <x:v>20</x:v>
      </x:c>
      <x:c r="K248" s="36" t="n">
        <x:v>60</x:v>
      </x:c>
      <x:c r="L248" s="37" t="n">
        <x:v>20</x:v>
      </x:c>
      <x:c r="M248" s="42" t="n">
        <x:f>IF(G248="","",INDEX('規格與範圍'!$B$14:$B$23,MATCH(G248,'規格與範圍'!$A$14:$A$23,0)))</x:f>
        <x:v>0.994</x:v>
      </x:c>
      <x:c r="N248" s="42" t="n">
        <x:f>IF(OR(H248="",I248="",M248=""),"",H248*I248*M248/100)</x:f>
        <x:v>13.915999999999999</x:v>
      </x:c>
      <x:c r="O248" s="36" t="str">
        <x:v>友愛街 3F梁版往上 鋼筋料單 114.08.28.XLS｜工作表 04｜原列 33｜右欄</x:v>
      </x:c>
    </x:row>
    <x:row r="249" ht="15" hidden="0" customHeight="1">
      <x:c r="A249" s="40" t="str">
        <x:v>04</x:v>
      </x:c>
      <x:c r="B249" s="40" t="str">
        <x:v>4F</x:v>
      </x:c>
      <x:c r="C249" s="40" t="str">
        <x:v>柱牆</x:v>
      </x:c>
      <x:c r="D249" s="40" t="str">
        <x:v>擴 柱</x:v>
      </x:c>
      <x:c r="E249" s="41" t="n">
        <x:v>34</x:v>
      </x:c>
      <x:c r="F249" s="40" t="str">
        <x:v>右欄</x:v>
      </x:c>
      <x:c r="G249" s="38" t="n">
        <x:v>4</x:v>
      </x:c>
      <x:c r="H249" s="37" t="n">
        <x:v>80</x:v>
      </x:c>
      <x:c r="I249" s="37" t="n">
        <x:v>56</x:v>
      </x:c>
      <x:c r="J249" s="37" t="n">
        <x:v>20</x:v>
      </x:c>
      <x:c r="K249" s="36" t="n">
        <x:v>40</x:v>
      </x:c>
      <x:c r="L249" s="37" t="n">
        <x:v>20</x:v>
      </x:c>
      <x:c r="M249" s="42" t="n">
        <x:f>IF(G249="","",INDEX('規格與範圍'!$B$14:$B$23,MATCH(G249,'規格與範圍'!$A$14:$A$23,0)))</x:f>
        <x:v>0.994</x:v>
      </x:c>
      <x:c r="N249" s="42" t="n">
        <x:f>IF(OR(H249="",I249="",M249=""),"",H249*I249*M249/100)</x:f>
        <x:v>44.5312</x:v>
      </x:c>
      <x:c r="O249" s="36" t="str">
        <x:v>友愛街 3F梁版往上 鋼筋料單 114.08.28.XLS｜工作表 04｜原列 34｜右欄</x:v>
      </x:c>
    </x:row>
    <x:row r="250" ht="15" hidden="0" customHeight="1">
      <x:c r="A250" s="40" t="str">
        <x:v>04</x:v>
      </x:c>
      <x:c r="B250" s="40" t="str">
        <x:v>4F</x:v>
      </x:c>
      <x:c r="C250" s="40" t="str">
        <x:v>柱牆</x:v>
      </x:c>
      <x:c r="D250" s="40" t="str">
        <x:v>擴 柱</x:v>
      </x:c>
      <x:c r="E250" s="41" t="n">
        <x:v>36</x:v>
      </x:c>
      <x:c r="F250" s="40" t="str">
        <x:v>右欄</x:v>
      </x:c>
      <x:c r="G250" s="38" t="n">
        <x:v>4</x:v>
      </x:c>
      <x:c r="H250" s="37" t="n">
        <x:v>30</x:v>
      </x:c>
      <x:c r="I250" s="37" t="n">
        <x:v>54</x:v>
      </x:c>
      <x:c r="J250" s="37"/>
      <x:c r="K250" s="36" t="n">
        <x:v>30</x:v>
      </x:c>
      <x:c r="L250" s="37"/>
      <x:c r="M250" s="42" t="n">
        <x:f>IF(G250="","",INDEX('規格與範圍'!$B$14:$B$23,MATCH(G250,'規格與範圍'!$A$14:$A$23,0)))</x:f>
        <x:v>0.994</x:v>
      </x:c>
      <x:c r="N250" s="42" t="n">
        <x:f>IF(OR(H250="",I250="",M250=""),"",H250*I250*M250/100)</x:f>
        <x:v>16.1028</x:v>
      </x:c>
      <x:c r="O250" s="36" t="str">
        <x:v>友愛街 3F梁版往上 鋼筋料單 114.08.28.XLS｜工作表 04｜原列 36｜右欄</x:v>
      </x:c>
    </x:row>
    <x:row r="251" ht="15" hidden="0" customHeight="1">
      <x:c r="A251" s="40" t="str">
        <x:v>05</x:v>
      </x:c>
      <x:c r="B251" s="40" t="str">
        <x:v>5F</x:v>
      </x:c>
      <x:c r="C251" s="40" t="str">
        <x:v>梁版</x:v>
      </x:c>
      <x:c r="D251" s="40" t="str">
        <x:v>樑 筋</x:v>
      </x:c>
      <x:c r="E251" s="41" t="n">
        <x:v>5</x:v>
      </x:c>
      <x:c r="F251" s="40" t="str">
        <x:v>左欄</x:v>
      </x:c>
      <x:c r="G251" s="38" t="n">
        <x:v>8</x:v>
      </x:c>
      <x:c r="H251" s="37" t="n">
        <x:v>650</x:v>
      </x:c>
      <x:c r="I251" s="37" t="n">
        <x:v>12</x:v>
      </x:c>
      <x:c r="J251" s="37" t="n">
        <x:v>0</x:v>
      </x:c>
      <x:c r="K251" s="36" t="n">
        <x:v>610</x:v>
      </x:c>
      <x:c r="L251" s="37" t="n">
        <x:v>40</x:v>
      </x:c>
      <x:c r="M251" s="42" t="n">
        <x:f>IF(G251="","",INDEX('規格與範圍'!$B$14:$B$23,MATCH(G251,'規格與範圍'!$A$14:$A$23,0)))</x:f>
        <x:v>3.98</x:v>
      </x:c>
      <x:c r="N251" s="42" t="n">
        <x:f>IF(OR(H251="",I251="",M251=""),"",H251*I251*M251/100)</x:f>
        <x:v>310.44</x:v>
      </x:c>
      <x:c r="O251" s="36" t="str">
        <x:v>友愛街 3F梁版往上 鋼筋料單 114.08.28.XLS｜工作表 05｜原列 5｜左欄</x:v>
      </x:c>
    </x:row>
    <x:row r="252" ht="15" hidden="0" customHeight="1">
      <x:c r="A252" s="40" t="str">
        <x:v>05</x:v>
      </x:c>
      <x:c r="B252" s="40" t="str">
        <x:v>5F</x:v>
      </x:c>
      <x:c r="C252" s="40" t="str">
        <x:v>梁版</x:v>
      </x:c>
      <x:c r="D252" s="40" t="str">
        <x:v>樑 筋</x:v>
      </x:c>
      <x:c r="E252" s="41" t="n">
        <x:v>6</x:v>
      </x:c>
      <x:c r="F252" s="40" t="str">
        <x:v>左欄</x:v>
      </x:c>
      <x:c r="G252" s="38" t="n">
        <x:v>8</x:v>
      </x:c>
      <x:c r="H252" s="37" t="n">
        <x:v>600</x:v>
      </x:c>
      <x:c r="I252" s="37" t="n">
        <x:v>6</x:v>
      </x:c>
      <x:c r="J252" s="37" t="n">
        <x:v>0</x:v>
      </x:c>
      <x:c r="K252" s="36" t="n">
        <x:v>560</x:v>
      </x:c>
      <x:c r="L252" s="37" t="n">
        <x:v>40</x:v>
      </x:c>
      <x:c r="M252" s="42" t="n">
        <x:f>IF(G252="","",INDEX('規格與範圍'!$B$14:$B$23,MATCH(G252,'規格與範圍'!$A$14:$A$23,0)))</x:f>
        <x:v>3.98</x:v>
      </x:c>
      <x:c r="N252" s="42" t="n">
        <x:f>IF(OR(H252="",I252="",M252=""),"",H252*I252*M252/100)</x:f>
        <x:v>143.28</x:v>
      </x:c>
      <x:c r="O252" s="36" t="str">
        <x:v>友愛街 3F梁版往上 鋼筋料單 114.08.28.XLS｜工作表 05｜原列 6｜左欄</x:v>
      </x:c>
    </x:row>
    <x:row r="253" ht="15" hidden="0" customHeight="1">
      <x:c r="A253" s="40" t="str">
        <x:v>05</x:v>
      </x:c>
      <x:c r="B253" s="40" t="str">
        <x:v>5F</x:v>
      </x:c>
      <x:c r="C253" s="40" t="str">
        <x:v>梁版</x:v>
      </x:c>
      <x:c r="D253" s="40" t="str">
        <x:v>樑 筋</x:v>
      </x:c>
      <x:c r="E253" s="41" t="n">
        <x:v>7</x:v>
      </x:c>
      <x:c r="F253" s="40" t="str">
        <x:v>左欄</x:v>
      </x:c>
      <x:c r="G253" s="38" t="n">
        <x:v>8</x:v>
      </x:c>
      <x:c r="H253" s="37" t="n">
        <x:v>400</x:v>
      </x:c>
      <x:c r="I253" s="37" t="n">
        <x:v>16</x:v>
      </x:c>
      <x:c r="J253" s="37" t="n">
        <x:v>0</x:v>
      </x:c>
      <x:c r="K253" s="36" t="n">
        <x:v>360</x:v>
      </x:c>
      <x:c r="L253" s="37" t="n">
        <x:v>40</x:v>
      </x:c>
      <x:c r="M253" s="42" t="n">
        <x:f>IF(G253="","",INDEX('規格與範圍'!$B$14:$B$23,MATCH(G253,'規格與範圍'!$A$14:$A$23,0)))</x:f>
        <x:v>3.98</x:v>
      </x:c>
      <x:c r="N253" s="42" t="n">
        <x:f>IF(OR(H253="",I253="",M253=""),"",H253*I253*M253/100)</x:f>
        <x:v>254.72</x:v>
      </x:c>
      <x:c r="O253" s="36" t="str">
        <x:v>友愛街 3F梁版往上 鋼筋料單 114.08.28.XLS｜工作表 05｜原列 7｜左欄</x:v>
      </x:c>
    </x:row>
    <x:row r="254" ht="15" hidden="0" customHeight="1">
      <x:c r="A254" s="40" t="str">
        <x:v>05</x:v>
      </x:c>
      <x:c r="B254" s="40" t="str">
        <x:v>5F</x:v>
      </x:c>
      <x:c r="C254" s="40" t="str">
        <x:v>梁版</x:v>
      </x:c>
      <x:c r="D254" s="40" t="str">
        <x:v>樑 筋</x:v>
      </x:c>
      <x:c r="E254" s="41" t="n">
        <x:v>8</x:v>
      </x:c>
      <x:c r="F254" s="40" t="str">
        <x:v>左欄</x:v>
      </x:c>
      <x:c r="G254" s="38" t="n">
        <x:v>8</x:v>
      </x:c>
      <x:c r="H254" s="37" t="n">
        <x:v>350</x:v>
      </x:c>
      <x:c r="I254" s="37" t="n">
        <x:v>12</x:v>
      </x:c>
      <x:c r="J254" s="37" t="n">
        <x:v>0</x:v>
      </x:c>
      <x:c r="K254" s="36" t="n">
        <x:v>310</x:v>
      </x:c>
      <x:c r="L254" s="37" t="n">
        <x:v>40</x:v>
      </x:c>
      <x:c r="M254" s="42" t="n">
        <x:f>IF(G254="","",INDEX('規格與範圍'!$B$14:$B$23,MATCH(G254,'規格與範圍'!$A$14:$A$23,0)))</x:f>
        <x:v>3.98</x:v>
      </x:c>
      <x:c r="N254" s="42" t="n">
        <x:f>IF(OR(H254="",I254="",M254=""),"",H254*I254*M254/100)</x:f>
        <x:v>167.16</x:v>
      </x:c>
      <x:c r="O254" s="36" t="str">
        <x:v>友愛街 3F梁版往上 鋼筋料單 114.08.28.XLS｜工作表 05｜原列 8｜左欄</x:v>
      </x:c>
    </x:row>
    <x:row r="255" ht="15" hidden="0" customHeight="1">
      <x:c r="A255" s="40" t="str">
        <x:v>05</x:v>
      </x:c>
      <x:c r="B255" s="40" t="str">
        <x:v>5F</x:v>
      </x:c>
      <x:c r="C255" s="40" t="str">
        <x:v>梁版</x:v>
      </x:c>
      <x:c r="D255" s="40" t="str">
        <x:v>樑 筋</x:v>
      </x:c>
      <x:c r="E255" s="41" t="n">
        <x:v>9</x:v>
      </x:c>
      <x:c r="F255" s="40" t="str">
        <x:v>左欄</x:v>
      </x:c>
      <x:c r="G255" s="38" t="n">
        <x:v>8</x:v>
      </x:c>
      <x:c r="H255" s="37" t="n">
        <x:v>790</x:v>
      </x:c>
      <x:c r="I255" s="37" t="n">
        <x:v>13</x:v>
      </x:c>
      <x:c r="J255" s="37" t="n">
        <x:v>0</x:v>
      </x:c>
      <x:c r="K255" s="36" t="n">
        <x:v>760</x:v>
      </x:c>
      <x:c r="L255" s="37" t="n">
        <x:v>30</x:v>
      </x:c>
      <x:c r="M255" s="42" t="n">
        <x:f>IF(G255="","",INDEX('規格與範圍'!$B$14:$B$23,MATCH(G255,'規格與範圍'!$A$14:$A$23,0)))</x:f>
        <x:v>3.98</x:v>
      </x:c>
      <x:c r="N255" s="42" t="n">
        <x:f>IF(OR(H255="",I255="",M255=""),"",H255*I255*M255/100)</x:f>
        <x:v>408.746</x:v>
      </x:c>
      <x:c r="O255" s="36" t="str">
        <x:v>友愛街 3F梁版往上 鋼筋料單 114.08.28.XLS｜工作表 05｜原列 9｜左欄</x:v>
      </x:c>
    </x:row>
    <x:row r="256" ht="15" hidden="0" customHeight="1">
      <x:c r="A256" s="40" t="str">
        <x:v>05</x:v>
      </x:c>
      <x:c r="B256" s="40" t="str">
        <x:v>5F</x:v>
      </x:c>
      <x:c r="C256" s="40" t="str">
        <x:v>梁版</x:v>
      </x:c>
      <x:c r="D256" s="40" t="str">
        <x:v>樑 筋</x:v>
      </x:c>
      <x:c r="E256" s="41" t="n">
        <x:v>10</x:v>
      </x:c>
      <x:c r="F256" s="40" t="str">
        <x:v>左欄</x:v>
      </x:c>
      <x:c r="G256" s="38" t="n">
        <x:v>8</x:v>
      </x:c>
      <x:c r="H256" s="37" t="n">
        <x:v>440</x:v>
      </x:c>
      <x:c r="I256" s="37" t="n">
        <x:v>8</x:v>
      </x:c>
      <x:c r="J256" s="37" t="n">
        <x:v>0</x:v>
      </x:c>
      <x:c r="K256" s="36" t="n">
        <x:v>410</x:v>
      </x:c>
      <x:c r="L256" s="37" t="n">
        <x:v>30</x:v>
      </x:c>
      <x:c r="M256" s="42" t="n">
        <x:f>IF(G256="","",INDEX('規格與範圍'!$B$14:$B$23,MATCH(G256,'規格與範圍'!$A$14:$A$23,0)))</x:f>
        <x:v>3.98</x:v>
      </x:c>
      <x:c r="N256" s="42" t="n">
        <x:f>IF(OR(H256="",I256="",M256=""),"",H256*I256*M256/100)</x:f>
        <x:v>140.096</x:v>
      </x:c>
      <x:c r="O256" s="36" t="str">
        <x:v>友愛街 3F梁版往上 鋼筋料單 114.08.28.XLS｜工作表 05｜原列 10｜左欄</x:v>
      </x:c>
    </x:row>
    <x:row r="257" ht="15" hidden="0" customHeight="1">
      <x:c r="A257" s="40" t="str">
        <x:v>05</x:v>
      </x:c>
      <x:c r="B257" s="40" t="str">
        <x:v>5F</x:v>
      </x:c>
      <x:c r="C257" s="40" t="str">
        <x:v>梁版</x:v>
      </x:c>
      <x:c r="D257" s="40" t="str">
        <x:v>樑 筋</x:v>
      </x:c>
      <x:c r="E257" s="41" t="n">
        <x:v>11</x:v>
      </x:c>
      <x:c r="F257" s="40" t="str">
        <x:v>左欄</x:v>
      </x:c>
      <x:c r="G257" s="38" t="n">
        <x:v>8</x:v>
      </x:c>
      <x:c r="H257" s="37" t="n">
        <x:v>390</x:v>
      </x:c>
      <x:c r="I257" s="37" t="n">
        <x:v>5</x:v>
      </x:c>
      <x:c r="J257" s="37" t="n">
        <x:v>0</x:v>
      </x:c>
      <x:c r="K257" s="36" t="n">
        <x:v>360</x:v>
      </x:c>
      <x:c r="L257" s="37" t="n">
        <x:v>30</x:v>
      </x:c>
      <x:c r="M257" s="42" t="n">
        <x:f>IF(G257="","",INDEX('規格與範圍'!$B$14:$B$23,MATCH(G257,'規格與範圍'!$A$14:$A$23,0)))</x:f>
        <x:v>3.98</x:v>
      </x:c>
      <x:c r="N257" s="42" t="n">
        <x:f>IF(OR(H257="",I257="",M257=""),"",H257*I257*M257/100)</x:f>
        <x:v>77.61</x:v>
      </x:c>
      <x:c r="O257" s="36" t="str">
        <x:v>友愛街 3F梁版往上 鋼筋料單 114.08.28.XLS｜工作表 05｜原列 11｜左欄</x:v>
      </x:c>
    </x:row>
    <x:row r="258" ht="15" hidden="0" customHeight="1">
      <x:c r="A258" s="40" t="str">
        <x:v>05</x:v>
      </x:c>
      <x:c r="B258" s="40" t="str">
        <x:v>5F</x:v>
      </x:c>
      <x:c r="C258" s="40" t="str">
        <x:v>梁版</x:v>
      </x:c>
      <x:c r="D258" s="40" t="str">
        <x:v>樑 筋</x:v>
      </x:c>
      <x:c r="E258" s="41" t="n">
        <x:v>13</x:v>
      </x:c>
      <x:c r="F258" s="40" t="str">
        <x:v>左欄</x:v>
      </x:c>
      <x:c r="G258" s="38" t="n">
        <x:v>7</x:v>
      </x:c>
      <x:c r="H258" s="37" t="n">
        <x:v>550</x:v>
      </x:c>
      <x:c r="I258" s="37" t="n">
        <x:v>21</x:v>
      </x:c>
      <x:c r="J258" s="37" t="n">
        <x:v>0</x:v>
      </x:c>
      <x:c r="K258" s="36" t="n">
        <x:v>515</x:v>
      </x:c>
      <x:c r="L258" s="37" t="n">
        <x:v>35</x:v>
      </x:c>
      <x:c r="M258" s="42" t="n">
        <x:f>IF(G258="","",INDEX('規格與範圍'!$B$14:$B$23,MATCH(G258,'規格與範圍'!$A$14:$A$23,0)))</x:f>
        <x:v>3.05</x:v>
      </x:c>
      <x:c r="N258" s="42" t="n">
        <x:f>IF(OR(H258="",I258="",M258=""),"",H258*I258*M258/100)</x:f>
        <x:v>352.275</x:v>
      </x:c>
      <x:c r="O258" s="36" t="str">
        <x:v>友愛街 3F梁版往上 鋼筋料單 114.08.28.XLS｜工作表 05｜原列 13｜左欄</x:v>
      </x:c>
    </x:row>
    <x:row r="259" ht="15" hidden="0" customHeight="1">
      <x:c r="A259" s="40" t="str">
        <x:v>05</x:v>
      </x:c>
      <x:c r="B259" s="40" t="str">
        <x:v>5F</x:v>
      </x:c>
      <x:c r="C259" s="40" t="str">
        <x:v>梁版</x:v>
      </x:c>
      <x:c r="D259" s="40" t="str">
        <x:v>樑 筋</x:v>
      </x:c>
      <x:c r="E259" s="41" t="n">
        <x:v>14</x:v>
      </x:c>
      <x:c r="F259" s="40" t="str">
        <x:v>左欄</x:v>
      </x:c>
      <x:c r="G259" s="38" t="n">
        <x:v>7</x:v>
      </x:c>
      <x:c r="H259" s="37" t="n">
        <x:v>500</x:v>
      </x:c>
      <x:c r="I259" s="37" t="n">
        <x:v>46</x:v>
      </x:c>
      <x:c r="J259" s="37" t="n">
        <x:v>0</x:v>
      </x:c>
      <x:c r="K259" s="36" t="n">
        <x:v>465</x:v>
      </x:c>
      <x:c r="L259" s="37" t="n">
        <x:v>35</x:v>
      </x:c>
      <x:c r="M259" s="42" t="n">
        <x:f>IF(G259="","",INDEX('規格與範圍'!$B$14:$B$23,MATCH(G259,'規格與範圍'!$A$14:$A$23,0)))</x:f>
        <x:v>3.05</x:v>
      </x:c>
      <x:c r="N259" s="42" t="n">
        <x:f>IF(OR(H259="",I259="",M259=""),"",H259*I259*M259/100)</x:f>
        <x:v>701.5</x:v>
      </x:c>
      <x:c r="O259" s="36" t="str">
        <x:v>友愛街 3F梁版往上 鋼筋料單 114.08.28.XLS｜工作表 05｜原列 14｜左欄</x:v>
      </x:c>
    </x:row>
    <x:row r="260" ht="15" hidden="0" customHeight="1">
      <x:c r="A260" s="40" t="str">
        <x:v>05</x:v>
      </x:c>
      <x:c r="B260" s="40" t="str">
        <x:v>5F</x:v>
      </x:c>
      <x:c r="C260" s="40" t="str">
        <x:v>梁版</x:v>
      </x:c>
      <x:c r="D260" s="40" t="str">
        <x:v>樑 筋</x:v>
      </x:c>
      <x:c r="E260" s="41" t="n">
        <x:v>15</x:v>
      </x:c>
      <x:c r="F260" s="40" t="str">
        <x:v>左欄</x:v>
      </x:c>
      <x:c r="G260" s="38" t="n">
        <x:v>7</x:v>
      </x:c>
      <x:c r="H260" s="37" t="n">
        <x:v>450</x:v>
      </x:c>
      <x:c r="I260" s="37" t="n">
        <x:v>21</x:v>
      </x:c>
      <x:c r="J260" s="37" t="n">
        <x:v>0</x:v>
      </x:c>
      <x:c r="K260" s="36" t="n">
        <x:v>415</x:v>
      </x:c>
      <x:c r="L260" s="37" t="n">
        <x:v>35</x:v>
      </x:c>
      <x:c r="M260" s="42" t="n">
        <x:f>IF(G260="","",INDEX('規格與範圍'!$B$14:$B$23,MATCH(G260,'規格與範圍'!$A$14:$A$23,0)))</x:f>
        <x:v>3.05</x:v>
      </x:c>
      <x:c r="N260" s="42" t="n">
        <x:f>IF(OR(H260="",I260="",M260=""),"",H260*I260*M260/100)</x:f>
        <x:v>288.225</x:v>
      </x:c>
      <x:c r="O260" s="36" t="str">
        <x:v>友愛街 3F梁版往上 鋼筋料單 114.08.28.XLS｜工作表 05｜原列 15｜左欄</x:v>
      </x:c>
    </x:row>
    <x:row r="261" ht="15" hidden="0" customHeight="1">
      <x:c r="A261" s="40" t="str">
        <x:v>05</x:v>
      </x:c>
      <x:c r="B261" s="40" t="str">
        <x:v>5F</x:v>
      </x:c>
      <x:c r="C261" s="40" t="str">
        <x:v>梁版</x:v>
      </x:c>
      <x:c r="D261" s="40" t="str">
        <x:v>樑 筋</x:v>
      </x:c>
      <x:c r="E261" s="41" t="n">
        <x:v>16</x:v>
      </x:c>
      <x:c r="F261" s="40" t="str">
        <x:v>左欄</x:v>
      </x:c>
      <x:c r="G261" s="38" t="n">
        <x:v>7</x:v>
      </x:c>
      <x:c r="H261" s="37" t="n">
        <x:v>350</x:v>
      </x:c>
      <x:c r="I261" s="37" t="n">
        <x:v>6</x:v>
      </x:c>
      <x:c r="J261" s="37" t="n">
        <x:v>0</x:v>
      </x:c>
      <x:c r="K261" s="36" t="n">
        <x:v>315</x:v>
      </x:c>
      <x:c r="L261" s="37" t="n">
        <x:v>35</x:v>
      </x:c>
      <x:c r="M261" s="42" t="n">
        <x:f>IF(G261="","",INDEX('規格與範圍'!$B$14:$B$23,MATCH(G261,'規格與範圍'!$A$14:$A$23,0)))</x:f>
        <x:v>3.05</x:v>
      </x:c>
      <x:c r="N261" s="42" t="n">
        <x:f>IF(OR(H261="",I261="",M261=""),"",H261*I261*M261/100)</x:f>
        <x:v>64.05</x:v>
      </x:c>
      <x:c r="O261" s="36" t="str">
        <x:v>友愛街 3F梁版往上 鋼筋料單 114.08.28.XLS｜工作表 05｜原列 16｜左欄</x:v>
      </x:c>
    </x:row>
    <x:row r="262" ht="15" hidden="0" customHeight="1">
      <x:c r="A262" s="40" t="str">
        <x:v>05</x:v>
      </x:c>
      <x:c r="B262" s="40" t="str">
        <x:v>5F</x:v>
      </x:c>
      <x:c r="C262" s="40" t="str">
        <x:v>梁版</x:v>
      </x:c>
      <x:c r="D262" s="40" t="str">
        <x:v>樑 筋</x:v>
      </x:c>
      <x:c r="E262" s="41" t="n">
        <x:v>17</x:v>
      </x:c>
      <x:c r="F262" s="40" t="str">
        <x:v>左欄</x:v>
      </x:c>
      <x:c r="G262" s="38" t="n">
        <x:v>7</x:v>
      </x:c>
      <x:c r="H262" s="37" t="n">
        <x:v>300</x:v>
      </x:c>
      <x:c r="I262" s="37" t="n">
        <x:v>19</x:v>
      </x:c>
      <x:c r="J262" s="37" t="n">
        <x:v>0</x:v>
      </x:c>
      <x:c r="K262" s="36" t="n">
        <x:v>265</x:v>
      </x:c>
      <x:c r="L262" s="37" t="n">
        <x:v>35</x:v>
      </x:c>
      <x:c r="M262" s="42" t="n">
        <x:f>IF(G262="","",INDEX('規格與範圍'!$B$14:$B$23,MATCH(G262,'規格與範圍'!$A$14:$A$23,0)))</x:f>
        <x:v>3.05</x:v>
      </x:c>
      <x:c r="N262" s="42" t="n">
        <x:f>IF(OR(H262="",I262="",M262=""),"",H262*I262*M262/100)</x:f>
        <x:v>173.85</x:v>
      </x:c>
      <x:c r="O262" s="36" t="str">
        <x:v>友愛街 3F梁版往上 鋼筋料單 114.08.28.XLS｜工作表 05｜原列 17｜左欄</x:v>
      </x:c>
    </x:row>
    <x:row r="263" ht="15" hidden="0" customHeight="1">
      <x:c r="A263" s="40" t="str">
        <x:v>05</x:v>
      </x:c>
      <x:c r="B263" s="40" t="str">
        <x:v>5F</x:v>
      </x:c>
      <x:c r="C263" s="40" t="str">
        <x:v>梁版</x:v>
      </x:c>
      <x:c r="D263" s="40" t="str">
        <x:v>樑 筋</x:v>
      </x:c>
      <x:c r="E263" s="41" t="n">
        <x:v>18</x:v>
      </x:c>
      <x:c r="F263" s="40" t="str">
        <x:v>左欄</x:v>
      </x:c>
      <x:c r="G263" s="38" t="n">
        <x:v>7</x:v>
      </x:c>
      <x:c r="H263" s="37" t="n">
        <x:v>800</x:v>
      </x:c>
      <x:c r="I263" s="37" t="n">
        <x:v>6</x:v>
      </x:c>
      <x:c r="J263" s="37" t="n">
        <x:v>0</x:v>
      </x:c>
      <x:c r="K263" s="36" t="n">
        <x:v>800</x:v>
      </x:c>
      <x:c r="L263" s="37" t="n">
        <x:v>0</x:v>
      </x:c>
      <x:c r="M263" s="42" t="n">
        <x:f>IF(G263="","",INDEX('規格與範圍'!$B$14:$B$23,MATCH(G263,'規格與範圍'!$A$14:$A$23,0)))</x:f>
        <x:v>3.05</x:v>
      </x:c>
      <x:c r="N263" s="42" t="n">
        <x:f>IF(OR(H263="",I263="",M263=""),"",H263*I263*M263/100)</x:f>
        <x:v>146.4</x:v>
      </x:c>
      <x:c r="O263" s="36" t="str">
        <x:v>友愛街 3F梁版往上 鋼筋料單 114.08.28.XLS｜工作表 05｜原列 18｜左欄</x:v>
      </x:c>
    </x:row>
    <x:row r="264" ht="15" hidden="0" customHeight="1">
      <x:c r="A264" s="40" t="str">
        <x:v>05</x:v>
      </x:c>
      <x:c r="B264" s="40" t="str">
        <x:v>5F</x:v>
      </x:c>
      <x:c r="C264" s="40" t="str">
        <x:v>梁版</x:v>
      </x:c>
      <x:c r="D264" s="40" t="str">
        <x:v>樑 筋</x:v>
      </x:c>
      <x:c r="E264" s="41" t="n">
        <x:v>19</x:v>
      </x:c>
      <x:c r="F264" s="40" t="str">
        <x:v>左欄</x:v>
      </x:c>
      <x:c r="G264" s="38" t="n">
        <x:v>7</x:v>
      </x:c>
      <x:c r="H264" s="37" t="n">
        <x:v>700</x:v>
      </x:c>
      <x:c r="I264" s="37" t="n">
        <x:v>6</x:v>
      </x:c>
      <x:c r="J264" s="37" t="n">
        <x:v>0</x:v>
      </x:c>
      <x:c r="K264" s="36" t="n">
        <x:v>700</x:v>
      </x:c>
      <x:c r="L264" s="37" t="n">
        <x:v>0</x:v>
      </x:c>
      <x:c r="M264" s="42" t="n">
        <x:f>IF(G264="","",INDEX('規格與範圍'!$B$14:$B$23,MATCH(G264,'規格與範圍'!$A$14:$A$23,0)))</x:f>
        <x:v>3.05</x:v>
      </x:c>
      <x:c r="N264" s="42" t="n">
        <x:f>IF(OR(H264="",I264="",M264=""),"",H264*I264*M264/100)</x:f>
        <x:v>128.1</x:v>
      </x:c>
      <x:c r="O264" s="36" t="str">
        <x:v>友愛街 3F梁版往上 鋼筋料單 114.08.28.XLS｜工作表 05｜原列 19｜左欄</x:v>
      </x:c>
    </x:row>
    <x:row r="265" ht="15" hidden="0" customHeight="1">
      <x:c r="A265" s="40" t="str">
        <x:v>05</x:v>
      </x:c>
      <x:c r="B265" s="40" t="str">
        <x:v>5F</x:v>
      </x:c>
      <x:c r="C265" s="40" t="str">
        <x:v>梁版</x:v>
      </x:c>
      <x:c r="D265" s="40" t="str">
        <x:v>樑 筋</x:v>
      </x:c>
      <x:c r="E265" s="41" t="n">
        <x:v>20</x:v>
      </x:c>
      <x:c r="F265" s="40" t="str">
        <x:v>左欄</x:v>
      </x:c>
      <x:c r="G265" s="38" t="n">
        <x:v>7</x:v>
      </x:c>
      <x:c r="H265" s="37" t="n">
        <x:v>450</x:v>
      </x:c>
      <x:c r="I265" s="37" t="n">
        <x:v>3</x:v>
      </x:c>
      <x:c r="J265" s="37" t="n">
        <x:v>0</x:v>
      </x:c>
      <x:c r="K265" s="36" t="n">
        <x:v>450</x:v>
      </x:c>
      <x:c r="L265" s="37" t="n">
        <x:v>0</x:v>
      </x:c>
      <x:c r="M265" s="42" t="n">
        <x:f>IF(G265="","",INDEX('規格與範圍'!$B$14:$B$23,MATCH(G265,'規格與範圍'!$A$14:$A$23,0)))</x:f>
        <x:v>3.05</x:v>
      </x:c>
      <x:c r="N265" s="42" t="n">
        <x:f>IF(OR(H265="",I265="",M265=""),"",H265*I265*M265/100)</x:f>
        <x:v>41.175</x:v>
      </x:c>
      <x:c r="O265" s="36" t="str">
        <x:v>友愛街 3F梁版往上 鋼筋料單 114.08.28.XLS｜工作表 05｜原列 20｜左欄</x:v>
      </x:c>
    </x:row>
    <x:row r="266" ht="15" hidden="0" customHeight="1">
      <x:c r="A266" s="40" t="str">
        <x:v>05</x:v>
      </x:c>
      <x:c r="B266" s="40" t="str">
        <x:v>5F</x:v>
      </x:c>
      <x:c r="C266" s="40" t="str">
        <x:v>梁版</x:v>
      </x:c>
      <x:c r="D266" s="40" t="str">
        <x:v>樑 筋</x:v>
      </x:c>
      <x:c r="E266" s="41" t="n">
        <x:v>23</x:v>
      </x:c>
      <x:c r="F266" s="40" t="str">
        <x:v>左欄</x:v>
      </x:c>
      <x:c r="G266" s="38" t="n">
        <x:v>6</x:v>
      </x:c>
      <x:c r="H266" s="37" t="n">
        <x:v>360</x:v>
      </x:c>
      <x:c r="I266" s="37" t="n">
        <x:v>2</x:v>
      </x:c>
      <x:c r="J266" s="37" t="n">
        <x:v>30</x:v>
      </x:c>
      <x:c r="K266" s="36" t="n">
        <x:v>300</x:v>
      </x:c>
      <x:c r="L266" s="37" t="n">
        <x:v>30</x:v>
      </x:c>
      <x:c r="M266" s="42" t="n">
        <x:f>IF(G266="","",INDEX('規格與範圍'!$B$14:$B$23,MATCH(G266,'規格與範圍'!$A$14:$A$23,0)))</x:f>
        <x:v>2.25</x:v>
      </x:c>
      <x:c r="N266" s="42" t="n">
        <x:f>IF(OR(H266="",I266="",M266=""),"",H266*I266*M266/100)</x:f>
        <x:v>16.2</x:v>
      </x:c>
      <x:c r="O266" s="36" t="str">
        <x:v>友愛街 3F梁版往上 鋼筋料單 114.08.28.XLS｜工作表 05｜原列 23｜左欄</x:v>
      </x:c>
    </x:row>
    <x:row r="267" ht="15" hidden="0" customHeight="1">
      <x:c r="A267" s="40" t="str">
        <x:v>05</x:v>
      </x:c>
      <x:c r="B267" s="40" t="str">
        <x:v>5F</x:v>
      </x:c>
      <x:c r="C267" s="40" t="str">
        <x:v>梁版</x:v>
      </x:c>
      <x:c r="D267" s="40" t="str">
        <x:v>樑 筋</x:v>
      </x:c>
      <x:c r="E267" s="41" t="n">
        <x:v>24</x:v>
      </x:c>
      <x:c r="F267" s="40" t="str">
        <x:v>左欄</x:v>
      </x:c>
      <x:c r="G267" s="38" t="n">
        <x:v>6</x:v>
      </x:c>
      <x:c r="H267" s="37" t="n">
        <x:v>320</x:v>
      </x:c>
      <x:c r="I267" s="37" t="n">
        <x:v>4</x:v>
      </x:c>
      <x:c r="J267" s="37" t="n">
        <x:v>30</x:v>
      </x:c>
      <x:c r="K267" s="36" t="n">
        <x:v>260</x:v>
      </x:c>
      <x:c r="L267" s="37" t="n">
        <x:v>30</x:v>
      </x:c>
      <x:c r="M267" s="42" t="n">
        <x:f>IF(G267="","",INDEX('規格與範圍'!$B$14:$B$23,MATCH(G267,'規格與範圍'!$A$14:$A$23,0)))</x:f>
        <x:v>2.25</x:v>
      </x:c>
      <x:c r="N267" s="42" t="n">
        <x:f>IF(OR(H267="",I267="",M267=""),"",H267*I267*M267/100)</x:f>
        <x:v>28.8</x:v>
      </x:c>
      <x:c r="O267" s="36" t="str">
        <x:v>友愛街 3F梁版往上 鋼筋料單 114.08.28.XLS｜工作表 05｜原列 24｜左欄</x:v>
      </x:c>
    </x:row>
    <x:row r="268" ht="15" hidden="0" customHeight="1">
      <x:c r="A268" s="40" t="str">
        <x:v>05</x:v>
      </x:c>
      <x:c r="B268" s="40" t="str">
        <x:v>5F</x:v>
      </x:c>
      <x:c r="C268" s="40" t="str">
        <x:v>梁版</x:v>
      </x:c>
      <x:c r="D268" s="40" t="str">
        <x:v>樑 筋</x:v>
      </x:c>
      <x:c r="E268" s="41" t="n">
        <x:v>25</x:v>
      </x:c>
      <x:c r="F268" s="40" t="str">
        <x:v>左欄</x:v>
      </x:c>
      <x:c r="G268" s="38" t="n">
        <x:v>6</x:v>
      </x:c>
      <x:c r="H268" s="37" t="n">
        <x:v>250</x:v>
      </x:c>
      <x:c r="I268" s="37" t="n">
        <x:v>8</x:v>
      </x:c>
      <x:c r="J268" s="37" t="n">
        <x:v>0</x:v>
      </x:c>
      <x:c r="K268" s="36" t="n">
        <x:v>220</x:v>
      </x:c>
      <x:c r="L268" s="37" t="n">
        <x:v>30</x:v>
      </x:c>
      <x:c r="M268" s="42" t="n">
        <x:f>IF(G268="","",INDEX('規格與範圍'!$B$14:$B$23,MATCH(G268,'規格與範圍'!$A$14:$A$23,0)))</x:f>
        <x:v>2.25</x:v>
      </x:c>
      <x:c r="N268" s="42" t="n">
        <x:f>IF(OR(H268="",I268="",M268=""),"",H268*I268*M268/100)</x:f>
        <x:v>45</x:v>
      </x:c>
      <x:c r="O268" s="36" t="str">
        <x:v>友愛街 3F梁版往上 鋼筋料單 114.08.28.XLS｜工作表 05｜原列 25｜左欄</x:v>
      </x:c>
    </x:row>
    <x:row r="269" ht="15" hidden="0" customHeight="1">
      <x:c r="A269" s="40" t="str">
        <x:v>05</x:v>
      </x:c>
      <x:c r="B269" s="40" t="str">
        <x:v>5F</x:v>
      </x:c>
      <x:c r="C269" s="40" t="str">
        <x:v>梁版</x:v>
      </x:c>
      <x:c r="D269" s="40" t="str">
        <x:v>樑 筋</x:v>
      </x:c>
      <x:c r="E269" s="41" t="n">
        <x:v>26</x:v>
      </x:c>
      <x:c r="F269" s="40" t="str">
        <x:v>左欄</x:v>
      </x:c>
      <x:c r="G269" s="38" t="n">
        <x:v>6</x:v>
      </x:c>
      <x:c r="H269" s="37" t="n">
        <x:v>200</x:v>
      </x:c>
      <x:c r="I269" s="37" t="n">
        <x:v>4</x:v>
      </x:c>
      <x:c r="J269" s="37" t="n">
        <x:v>0</x:v>
      </x:c>
      <x:c r="K269" s="36" t="n">
        <x:v>170</x:v>
      </x:c>
      <x:c r="L269" s="37" t="n">
        <x:v>30</x:v>
      </x:c>
      <x:c r="M269" s="42" t="n">
        <x:f>IF(G269="","",INDEX('規格與範圍'!$B$14:$B$23,MATCH(G269,'規格與範圍'!$A$14:$A$23,0)))</x:f>
        <x:v>2.25</x:v>
      </x:c>
      <x:c r="N269" s="42" t="n">
        <x:f>IF(OR(H269="",I269="",M269=""),"",H269*I269*M269/100)</x:f>
        <x:v>18</x:v>
      </x:c>
      <x:c r="O269" s="36" t="str">
        <x:v>友愛街 3F梁版往上 鋼筋料單 114.08.28.XLS｜工作表 05｜原列 26｜左欄</x:v>
      </x:c>
    </x:row>
    <x:row r="270" ht="15" hidden="0" customHeight="1">
      <x:c r="A270" s="40" t="str">
        <x:v>05</x:v>
      </x:c>
      <x:c r="B270" s="40" t="str">
        <x:v>5F</x:v>
      </x:c>
      <x:c r="C270" s="40" t="str">
        <x:v>梁版</x:v>
      </x:c>
      <x:c r="D270" s="40" t="str">
        <x:v>柱 收 頭</x:v>
      </x:c>
      <x:c r="E270" s="41" t="n">
        <x:v>29</x:v>
      </x:c>
      <x:c r="F270" s="40" t="str">
        <x:v>左欄</x:v>
      </x:c>
      <x:c r="G270" s="38" t="n">
        <x:v>8</x:v>
      </x:c>
      <x:c r="H270" s="37" t="n">
        <x:v>220</x:v>
      </x:c>
      <x:c r="I270" s="37" t="n">
        <x:v>54</x:v>
      </x:c>
      <x:c r="J270" s="37"/>
      <x:c r="K270" s="36" t="n">
        <x:v>180</x:v>
      </x:c>
      <x:c r="L270" s="37" t="n">
        <x:v>40</x:v>
      </x:c>
      <x:c r="M270" s="42" t="n">
        <x:f>IF(G270="","",INDEX('規格與範圍'!$B$14:$B$23,MATCH(G270,'規格與範圍'!$A$14:$A$23,0)))</x:f>
        <x:v>3.98</x:v>
      </x:c>
      <x:c r="N270" s="42" t="n">
        <x:f>IF(OR(H270="",I270="",M270=""),"",H270*I270*M270/100)</x:f>
        <x:v>472.824</x:v>
      </x:c>
      <x:c r="O270" s="36" t="str">
        <x:v>友愛街 3F梁版往上 鋼筋料單 114.08.28.XLS｜工作表 05｜原列 29｜左欄</x:v>
      </x:c>
    </x:row>
    <x:row r="271" ht="15" hidden="0" customHeight="1">
      <x:c r="A271" s="40" t="str">
        <x:v>05</x:v>
      </x:c>
      <x:c r="B271" s="40" t="str">
        <x:v>5F</x:v>
      </x:c>
      <x:c r="C271" s="40" t="str">
        <x:v>梁版</x:v>
      </x:c>
      <x:c r="D271" s="40" t="str">
        <x:v>下 層 版 筋</x:v>
      </x:c>
      <x:c r="E271" s="41" t="n">
        <x:v>33</x:v>
      </x:c>
      <x:c r="F271" s="40" t="str">
        <x:v>左欄</x:v>
      </x:c>
      <x:c r="G271" s="38" t="n">
        <x:v>4</x:v>
      </x:c>
      <x:c r="H271" s="37" t="n">
        <x:v>630</x:v>
      </x:c>
      <x:c r="I271" s="37" t="n">
        <x:v>52</x:v>
      </x:c>
      <x:c r="J271" s="37"/>
      <x:c r="K271" s="36" t="n">
        <x:v>630</x:v>
      </x:c>
      <x:c r="L271" s="37"/>
      <x:c r="M271" s="42" t="n">
        <x:f>IF(G271="","",INDEX('規格與範圍'!$B$14:$B$23,MATCH(G271,'規格與範圍'!$A$14:$A$23,0)))</x:f>
        <x:v>0.994</x:v>
      </x:c>
      <x:c r="N271" s="42" t="n">
        <x:f>IF(OR(H271="",I271="",M271=""),"",H271*I271*M271/100)</x:f>
        <x:v>325.63439999999997</x:v>
      </x:c>
      <x:c r="O271" s="36" t="str">
        <x:v>友愛街 3F梁版往上 鋼筋料單 114.08.28.XLS｜工作表 05｜原列 33｜左欄</x:v>
      </x:c>
    </x:row>
    <x:row r="272" ht="15" hidden="0" customHeight="1">
      <x:c r="A272" s="40" t="str">
        <x:v>05</x:v>
      </x:c>
      <x:c r="B272" s="40" t="str">
        <x:v>5F</x:v>
      </x:c>
      <x:c r="C272" s="40" t="str">
        <x:v>梁版</x:v>
      </x:c>
      <x:c r="D272" s="40" t="str">
        <x:v>下 層 版 筋</x:v>
      </x:c>
      <x:c r="E272" s="41" t="n">
        <x:v>34</x:v>
      </x:c>
      <x:c r="F272" s="40" t="str">
        <x:v>左欄</x:v>
      </x:c>
      <x:c r="G272" s="38" t="n">
        <x:v>4</x:v>
      </x:c>
      <x:c r="H272" s="37" t="n">
        <x:v>500</x:v>
      </x:c>
      <x:c r="I272" s="37" t="n">
        <x:v>48</x:v>
      </x:c>
      <x:c r="J272" s="37"/>
      <x:c r="K272" s="36" t="n">
        <x:v>500</x:v>
      </x:c>
      <x:c r="L272" s="37"/>
      <x:c r="M272" s="42" t="n">
        <x:f>IF(G272="","",INDEX('規格與範圍'!$B$14:$B$23,MATCH(G272,'規格與範圍'!$A$14:$A$23,0)))</x:f>
        <x:v>0.994</x:v>
      </x:c>
      <x:c r="N272" s="42" t="n">
        <x:f>IF(OR(H272="",I272="",M272=""),"",H272*I272*M272/100)</x:f>
        <x:v>238.56</x:v>
      </x:c>
      <x:c r="O272" s="36" t="str">
        <x:v>友愛街 3F梁版往上 鋼筋料單 114.08.28.XLS｜工作表 05｜原列 34｜左欄</x:v>
      </x:c>
    </x:row>
    <x:row r="273" ht="15" hidden="0" customHeight="1">
      <x:c r="A273" s="40" t="str">
        <x:v>05</x:v>
      </x:c>
      <x:c r="B273" s="40" t="str">
        <x:v>5F</x:v>
      </x:c>
      <x:c r="C273" s="40" t="str">
        <x:v>梁版</x:v>
      </x:c>
      <x:c r="D273" s="40" t="str">
        <x:v>下 層 版 筋</x:v>
      </x:c>
      <x:c r="E273" s="41" t="n">
        <x:v>35</x:v>
      </x:c>
      <x:c r="F273" s="40" t="str">
        <x:v>左欄</x:v>
      </x:c>
      <x:c r="G273" s="38" t="n">
        <x:v>4</x:v>
      </x:c>
      <x:c r="H273" s="37" t="n">
        <x:v>350</x:v>
      </x:c>
      <x:c r="I273" s="37" t="n">
        <x:v>14</x:v>
      </x:c>
      <x:c r="J273" s="37"/>
      <x:c r="K273" s="36" t="n">
        <x:v>350</x:v>
      </x:c>
      <x:c r="L273" s="37"/>
      <x:c r="M273" s="42" t="n">
        <x:f>IF(G273="","",INDEX('規格與範圍'!$B$14:$B$23,MATCH(G273,'規格與範圍'!$A$14:$A$23,0)))</x:f>
        <x:v>0.994</x:v>
      </x:c>
      <x:c r="N273" s="42" t="n">
        <x:f>IF(OR(H273="",I273="",M273=""),"",H273*I273*M273/100)</x:f>
        <x:v>48.706</x:v>
      </x:c>
      <x:c r="O273" s="36" t="str">
        <x:v>友愛街 3F梁版往上 鋼筋料單 114.08.28.XLS｜工作表 05｜原列 35｜左欄</x:v>
      </x:c>
    </x:row>
    <x:row r="274" ht="15" hidden="0" customHeight="1">
      <x:c r="A274" s="40" t="str">
        <x:v>05</x:v>
      </x:c>
      <x:c r="B274" s="40" t="str">
        <x:v>5F</x:v>
      </x:c>
      <x:c r="C274" s="40" t="str">
        <x:v>梁版</x:v>
      </x:c>
      <x:c r="D274" s="40" t="str">
        <x:v>下 層 版 筋</x:v>
      </x:c>
      <x:c r="E274" s="41" t="n">
        <x:v>36</x:v>
      </x:c>
      <x:c r="F274" s="40" t="str">
        <x:v>左欄</x:v>
      </x:c>
      <x:c r="G274" s="38" t="n">
        <x:v>4</x:v>
      </x:c>
      <x:c r="H274" s="37" t="n">
        <x:v>250</x:v>
      </x:c>
      <x:c r="I274" s="37" t="n">
        <x:v>24</x:v>
      </x:c>
      <x:c r="J274" s="37"/>
      <x:c r="K274" s="36" t="n">
        <x:v>250</x:v>
      </x:c>
      <x:c r="L274" s="37"/>
      <x:c r="M274" s="42" t="n">
        <x:f>IF(G274="","",INDEX('規格與範圍'!$B$14:$B$23,MATCH(G274,'規格與範圍'!$A$14:$A$23,0)))</x:f>
        <x:v>0.994</x:v>
      </x:c>
      <x:c r="N274" s="42" t="n">
        <x:f>IF(OR(H274="",I274="",M274=""),"",H274*I274*M274/100)</x:f>
        <x:v>59.64</x:v>
      </x:c>
      <x:c r="O274" s="36" t="str">
        <x:v>友愛街 3F梁版往上 鋼筋料單 114.08.28.XLS｜工作表 05｜原列 36｜左欄</x:v>
      </x:c>
    </x:row>
    <x:row r="275" ht="15" hidden="0" customHeight="1">
      <x:c r="A275" s="40" t="str">
        <x:v>05</x:v>
      </x:c>
      <x:c r="B275" s="40" t="str">
        <x:v>5F</x:v>
      </x:c>
      <x:c r="C275" s="40" t="str">
        <x:v>梁版</x:v>
      </x:c>
      <x:c r="D275" s="40" t="str">
        <x:v>下 層 版 筋</x:v>
      </x:c>
      <x:c r="E275" s="41" t="n">
        <x:v>37</x:v>
      </x:c>
      <x:c r="F275" s="40" t="str">
        <x:v>左欄</x:v>
      </x:c>
      <x:c r="G275" s="38" t="n">
        <x:v>4</x:v>
      </x:c>
      <x:c r="H275" s="37" t="n">
        <x:v>150</x:v>
      </x:c>
      <x:c r="I275" s="37" t="n">
        <x:v>48</x:v>
      </x:c>
      <x:c r="J275" s="37"/>
      <x:c r="K275" s="36" t="n">
        <x:v>150</x:v>
      </x:c>
      <x:c r="L275" s="37"/>
      <x:c r="M275" s="42" t="n">
        <x:f>IF(G275="","",INDEX('規格與範圍'!$B$14:$B$23,MATCH(G275,'規格與範圍'!$A$14:$A$23,0)))</x:f>
        <x:v>0.994</x:v>
      </x:c>
      <x:c r="N275" s="42" t="n">
        <x:f>IF(OR(H275="",I275="",M275=""),"",H275*I275*M275/100)</x:f>
        <x:v>71.568</x:v>
      </x:c>
      <x:c r="O275" s="36" t="str">
        <x:v>友愛街 3F梁版往上 鋼筋料單 114.08.28.XLS｜工作表 05｜原列 37｜左欄</x:v>
      </x:c>
    </x:row>
    <x:row r="276" ht="15" hidden="0" customHeight="1">
      <x:c r="A276" s="40" t="str">
        <x:v>05</x:v>
      </x:c>
      <x:c r="B276" s="40" t="str">
        <x:v>5F</x:v>
      </x:c>
      <x:c r="C276" s="40" t="str">
        <x:v>梁版</x:v>
      </x:c>
      <x:c r="D276" s="40" t="str">
        <x:v>下 層 版 筋</x:v>
      </x:c>
      <x:c r="E276" s="41" t="n">
        <x:v>39</x:v>
      </x:c>
      <x:c r="F276" s="40" t="str">
        <x:v>左欄</x:v>
      </x:c>
      <x:c r="G276" s="38" t="n">
        <x:v>3</x:v>
      </x:c>
      <x:c r="H276" s="37" t="n">
        <x:v>400</x:v>
      </x:c>
      <x:c r="I276" s="37" t="n">
        <x:v>26</x:v>
      </x:c>
      <x:c r="J276" s="37"/>
      <x:c r="K276" s="36" t="n">
        <x:v>385</x:v>
      </x:c>
      <x:c r="L276" s="37" t="n">
        <x:v>15</x:v>
      </x:c>
      <x:c r="M276" s="42" t="n">
        <x:f>IF(G276="","",INDEX('規格與範圍'!$B$14:$B$23,MATCH(G276,'規格與範圍'!$A$14:$A$23,0)))</x:f>
        <x:v>0.559</x:v>
      </x:c>
      <x:c r="N276" s="42" t="n">
        <x:f>IF(OR(H276="",I276="",M276=""),"",H276*I276*M276/100)</x:f>
        <x:v>58.136</x:v>
      </x:c>
      <x:c r="O276" s="36" t="str">
        <x:v>友愛街 3F梁版往上 鋼筋料單 114.08.28.XLS｜工作表 05｜原列 39｜左欄</x:v>
      </x:c>
    </x:row>
    <x:row r="277" ht="15" hidden="0" customHeight="1">
      <x:c r="A277" s="40" t="str">
        <x:v>05</x:v>
      </x:c>
      <x:c r="B277" s="40" t="str">
        <x:v>5F</x:v>
      </x:c>
      <x:c r="C277" s="40" t="str">
        <x:v>梁版</x:v>
      </x:c>
      <x:c r="D277" s="40" t="str">
        <x:v>下 層 版 筋</x:v>
      </x:c>
      <x:c r="E277" s="41" t="n">
        <x:v>40</x:v>
      </x:c>
      <x:c r="F277" s="40" t="str">
        <x:v>左欄</x:v>
      </x:c>
      <x:c r="G277" s="38" t="n">
        <x:v>3</x:v>
      </x:c>
      <x:c r="H277" s="37" t="n">
        <x:v>350</x:v>
      </x:c>
      <x:c r="I277" s="37" t="n">
        <x:v>19</x:v>
      </x:c>
      <x:c r="J277" s="37"/>
      <x:c r="K277" s="36" t="n">
        <x:v>335</x:v>
      </x:c>
      <x:c r="L277" s="37" t="n">
        <x:v>15</x:v>
      </x:c>
      <x:c r="M277" s="42" t="n">
        <x:f>IF(G277="","",INDEX('規格與範圍'!$B$14:$B$23,MATCH(G277,'規格與範圍'!$A$14:$A$23,0)))</x:f>
        <x:v>0.559</x:v>
      </x:c>
      <x:c r="N277" s="42" t="n">
        <x:f>IF(OR(H277="",I277="",M277=""),"",H277*I277*M277/100)</x:f>
        <x:v>37.173500000000004</x:v>
      </x:c>
      <x:c r="O277" s="36" t="str">
        <x:v>友愛街 3F梁版往上 鋼筋料單 114.08.28.XLS｜工作表 05｜原列 40｜左欄</x:v>
      </x:c>
    </x:row>
    <x:row r="278" ht="15" hidden="0" customHeight="1">
      <x:c r="A278" s="40" t="str">
        <x:v>05</x:v>
      </x:c>
      <x:c r="B278" s="40" t="str">
        <x:v>5F</x:v>
      </x:c>
      <x:c r="C278" s="40" t="str">
        <x:v>梁版</x:v>
      </x:c>
      <x:c r="D278" s="40" t="str">
        <x:v>下 層 版 筋</x:v>
      </x:c>
      <x:c r="E278" s="41" t="n">
        <x:v>41</x:v>
      </x:c>
      <x:c r="F278" s="40" t="str">
        <x:v>左欄</x:v>
      </x:c>
      <x:c r="G278" s="38" t="n">
        <x:v>3</x:v>
      </x:c>
      <x:c r="H278" s="37" t="n">
        <x:v>315</x:v>
      </x:c>
      <x:c r="I278" s="37" t="n">
        <x:v>10</x:v>
      </x:c>
      <x:c r="J278" s="37"/>
      <x:c r="K278" s="36" t="n">
        <x:v>300</x:v>
      </x:c>
      <x:c r="L278" s="37" t="n">
        <x:v>15</x:v>
      </x:c>
      <x:c r="M278" s="42" t="n">
        <x:f>IF(G278="","",INDEX('規格與範圍'!$B$14:$B$23,MATCH(G278,'規格與範圍'!$A$14:$A$23,0)))</x:f>
        <x:v>0.559</x:v>
      </x:c>
      <x:c r="N278" s="42" t="n">
        <x:f>IF(OR(H278="",I278="",M278=""),"",H278*I278*M278/100)</x:f>
        <x:v>17.608500000000003</x:v>
      </x:c>
      <x:c r="O278" s="36" t="str">
        <x:v>友愛街 3F梁版往上 鋼筋料單 114.08.28.XLS｜工作表 05｜原列 41｜左欄</x:v>
      </x:c>
    </x:row>
    <x:row r="279" ht="15" hidden="0" customHeight="1">
      <x:c r="A279" s="40" t="str">
        <x:v>05</x:v>
      </x:c>
      <x:c r="B279" s="40" t="str">
        <x:v>5F</x:v>
      </x:c>
      <x:c r="C279" s="40" t="str">
        <x:v>梁版</x:v>
      </x:c>
      <x:c r="D279" s="40" t="str">
        <x:v>下 層 版 筋</x:v>
      </x:c>
      <x:c r="E279" s="41" t="n">
        <x:v>42</x:v>
      </x:c>
      <x:c r="F279" s="40" t="str">
        <x:v>左欄</x:v>
      </x:c>
      <x:c r="G279" s="38" t="n">
        <x:v>3</x:v>
      </x:c>
      <x:c r="H279" s="37" t="n">
        <x:v>250</x:v>
      </x:c>
      <x:c r="I279" s="37" t="n">
        <x:v>12</x:v>
      </x:c>
      <x:c r="J279" s="37"/>
      <x:c r="K279" s="36" t="n">
        <x:v>235</x:v>
      </x:c>
      <x:c r="L279" s="37" t="n">
        <x:v>15</x:v>
      </x:c>
      <x:c r="M279" s="42" t="n">
        <x:f>IF(G279="","",INDEX('規格與範圍'!$B$14:$B$23,MATCH(G279,'規格與範圍'!$A$14:$A$23,0)))</x:f>
        <x:v>0.559</x:v>
      </x:c>
      <x:c r="N279" s="42" t="n">
        <x:f>IF(OR(H279="",I279="",M279=""),"",H279*I279*M279/100)</x:f>
        <x:v>16.770000000000003</x:v>
      </x:c>
      <x:c r="O279" s="36" t="str">
        <x:v>友愛街 3F梁版往上 鋼筋料單 114.08.28.XLS｜工作表 05｜原列 42｜左欄</x:v>
      </x:c>
    </x:row>
    <x:row r="280" ht="15" hidden="0" customHeight="1">
      <x:c r="A280" s="40" t="str">
        <x:v>05</x:v>
      </x:c>
      <x:c r="B280" s="40" t="str">
        <x:v>5F</x:v>
      </x:c>
      <x:c r="C280" s="40" t="str">
        <x:v>梁版</x:v>
      </x:c>
      <x:c r="D280" s="40" t="str">
        <x:v>下 層 版 筋</x:v>
      </x:c>
      <x:c r="E280" s="41" t="n">
        <x:v>43</x:v>
      </x:c>
      <x:c r="F280" s="40" t="str">
        <x:v>左欄</x:v>
      </x:c>
      <x:c r="G280" s="38" t="n">
        <x:v>3</x:v>
      </x:c>
      <x:c r="H280" s="37" t="n">
        <x:v>200</x:v>
      </x:c>
      <x:c r="I280" s="37" t="n">
        <x:v>54</x:v>
      </x:c>
      <x:c r="J280" s="37"/>
      <x:c r="K280" s="36" t="n">
        <x:v>185</x:v>
      </x:c>
      <x:c r="L280" s="37" t="n">
        <x:v>15</x:v>
      </x:c>
      <x:c r="M280" s="42" t="n">
        <x:f>IF(G280="","",INDEX('規格與範圍'!$B$14:$B$23,MATCH(G280,'規格與範圍'!$A$14:$A$23,0)))</x:f>
        <x:v>0.559</x:v>
      </x:c>
      <x:c r="N280" s="42" t="n">
        <x:f>IF(OR(H280="",I280="",M280=""),"",H280*I280*M280/100)</x:f>
        <x:v>60.37200000000001</x:v>
      </x:c>
      <x:c r="O280" s="36" t="str">
        <x:v>友愛街 3F梁版往上 鋼筋料單 114.08.28.XLS｜工作表 05｜原列 43｜左欄</x:v>
      </x:c>
    </x:row>
    <x:row r="281" ht="15" hidden="0" customHeight="1">
      <x:c r="A281" s="40" t="str">
        <x:v>05</x:v>
      </x:c>
      <x:c r="B281" s="40" t="str">
        <x:v>5F</x:v>
      </x:c>
      <x:c r="C281" s="40" t="str">
        <x:v>梁版</x:v>
      </x:c>
      <x:c r="D281" s="40" t="str">
        <x:v>下 層 版 筋</x:v>
      </x:c>
      <x:c r="E281" s="41" t="n">
        <x:v>44</x:v>
      </x:c>
      <x:c r="F281" s="40" t="str">
        <x:v>左欄</x:v>
      </x:c>
      <x:c r="G281" s="38" t="n">
        <x:v>3</x:v>
      </x:c>
      <x:c r="H281" s="37" t="n">
        <x:v>135</x:v>
      </x:c>
      <x:c r="I281" s="37" t="n">
        <x:v>22</x:v>
      </x:c>
      <x:c r="J281" s="37"/>
      <x:c r="K281" s="36" t="n">
        <x:v>120</x:v>
      </x:c>
      <x:c r="L281" s="37" t="n">
        <x:v>15</x:v>
      </x:c>
      <x:c r="M281" s="42" t="n">
        <x:f>IF(G281="","",INDEX('規格與範圍'!$B$14:$B$23,MATCH(G281,'規格與範圍'!$A$14:$A$23,0)))</x:f>
        <x:v>0.559</x:v>
      </x:c>
      <x:c r="N281" s="42" t="n">
        <x:f>IF(OR(H281="",I281="",M281=""),"",H281*I281*M281/100)</x:f>
        <x:v>16.602300000000003</x:v>
      </x:c>
      <x:c r="O281" s="36" t="str">
        <x:v>友愛街 3F梁版往上 鋼筋料單 114.08.28.XLS｜工作表 05｜原列 44｜左欄</x:v>
      </x:c>
    </x:row>
    <x:row r="282" ht="15" hidden="0" customHeight="1">
      <x:c r="A282" s="40" t="str">
        <x:v>05</x:v>
      </x:c>
      <x:c r="B282" s="40" t="str">
        <x:v>5F</x:v>
      </x:c>
      <x:c r="C282" s="40" t="str">
        <x:v>梁版</x:v>
      </x:c>
      <x:c r="D282" s="40" t="str">
        <x:v>下 層 版 筋</x:v>
      </x:c>
      <x:c r="E282" s="41" t="n">
        <x:v>45</x:v>
      </x:c>
      <x:c r="F282" s="40" t="str">
        <x:v>左欄</x:v>
      </x:c>
      <x:c r="G282" s="38" t="n">
        <x:v>3</x:v>
      </x:c>
      <x:c r="H282" s="37" t="n">
        <x:v>700</x:v>
      </x:c>
      <x:c r="I282" s="37" t="n">
        <x:v>22</x:v>
      </x:c>
      <x:c r="J282" s="37"/>
      <x:c r="K282" s="36" t="n">
        <x:v>700</x:v>
      </x:c>
      <x:c r="L282" s="37"/>
      <x:c r="M282" s="42" t="n">
        <x:f>IF(G282="","",INDEX('規格與範圍'!$B$14:$B$23,MATCH(G282,'規格與範圍'!$A$14:$A$23,0)))</x:f>
        <x:v>0.559</x:v>
      </x:c>
      <x:c r="N282" s="42" t="n">
        <x:f>IF(OR(H282="",I282="",M282=""),"",H282*I282*M282/100)</x:f>
        <x:v>86.086</x:v>
      </x:c>
      <x:c r="O282" s="36" t="str">
        <x:v>友愛街 3F梁版往上 鋼筋料單 114.08.28.XLS｜工作表 05｜原列 45｜左欄</x:v>
      </x:c>
    </x:row>
    <x:row r="283" ht="15" hidden="0" customHeight="1">
      <x:c r="A283" s="40" t="str">
        <x:v>05</x:v>
      </x:c>
      <x:c r="B283" s="40" t="str">
        <x:v>5F</x:v>
      </x:c>
      <x:c r="C283" s="40" t="str">
        <x:v>梁版</x:v>
      </x:c>
      <x:c r="D283" s="40" t="str">
        <x:v>下 層 版 筋</x:v>
      </x:c>
      <x:c r="E283" s="41" t="n">
        <x:v>46</x:v>
      </x:c>
      <x:c r="F283" s="40" t="str">
        <x:v>左欄</x:v>
      </x:c>
      <x:c r="G283" s="38" t="n">
        <x:v>3</x:v>
      </x:c>
      <x:c r="H283" s="37" t="n">
        <x:v>470</x:v>
      </x:c>
      <x:c r="I283" s="37" t="n">
        <x:v>45</x:v>
      </x:c>
      <x:c r="J283" s="37"/>
      <x:c r="K283" s="36" t="n">
        <x:v>470</x:v>
      </x:c>
      <x:c r="L283" s="37"/>
      <x:c r="M283" s="42" t="n">
        <x:f>IF(G283="","",INDEX('規格與範圍'!$B$14:$B$23,MATCH(G283,'規格與範圍'!$A$14:$A$23,0)))</x:f>
        <x:v>0.559</x:v>
      </x:c>
      <x:c r="N283" s="42" t="n">
        <x:f>IF(OR(H283="",I283="",M283=""),"",H283*I283*M283/100)</x:f>
        <x:v>118.2285</x:v>
      </x:c>
      <x:c r="O283" s="36" t="str">
        <x:v>友愛街 3F梁版往上 鋼筋料單 114.08.28.XLS｜工作表 05｜原列 46｜左欄</x:v>
      </x:c>
    </x:row>
    <x:row r="284" ht="15" hidden="0" customHeight="1">
      <x:c r="A284" s="40" t="str">
        <x:v>05</x:v>
      </x:c>
      <x:c r="B284" s="40" t="str">
        <x:v>5F</x:v>
      </x:c>
      <x:c r="C284" s="40" t="str">
        <x:v>梁版</x:v>
      </x:c>
      <x:c r="D284" s="40" t="str">
        <x:v>下 層 版 筋</x:v>
      </x:c>
      <x:c r="E284" s="41" t="n">
        <x:v>47</x:v>
      </x:c>
      <x:c r="F284" s="40" t="str">
        <x:v>左欄</x:v>
      </x:c>
      <x:c r="G284" s="38" t="n">
        <x:v>3</x:v>
      </x:c>
      <x:c r="H284" s="37" t="n">
        <x:v>350</x:v>
      </x:c>
      <x:c r="I284" s="37" t="n">
        <x:v>102</x:v>
      </x:c>
      <x:c r="J284" s="37"/>
      <x:c r="K284" s="36" t="n">
        <x:v>350</x:v>
      </x:c>
      <x:c r="L284" s="37"/>
      <x:c r="M284" s="42" t="n">
        <x:f>IF(G284="","",INDEX('規格與範圍'!$B$14:$B$23,MATCH(G284,'規格與範圍'!$A$14:$A$23,0)))</x:f>
        <x:v>0.559</x:v>
      </x:c>
      <x:c r="N284" s="42" t="n">
        <x:f>IF(OR(H284="",I284="",M284=""),"",H284*I284*M284/100)</x:f>
        <x:v>199.56300000000002</x:v>
      </x:c>
      <x:c r="O284" s="36" t="str">
        <x:v>友愛街 3F梁版往上 鋼筋料單 114.08.28.XLS｜工作表 05｜原列 47｜左欄</x:v>
      </x:c>
    </x:row>
    <x:row r="285" ht="15" hidden="0" customHeight="1">
      <x:c r="A285" s="40" t="str">
        <x:v>05</x:v>
      </x:c>
      <x:c r="B285" s="40" t="str">
        <x:v>5F</x:v>
      </x:c>
      <x:c r="C285" s="40" t="str">
        <x:v>梁版</x:v>
      </x:c>
      <x:c r="D285" s="40" t="str">
        <x:v>下 層 版 筋</x:v>
      </x:c>
      <x:c r="E285" s="41" t="n">
        <x:v>48</x:v>
      </x:c>
      <x:c r="F285" s="40" t="str">
        <x:v>左欄</x:v>
      </x:c>
      <x:c r="G285" s="38" t="n">
        <x:v>3</x:v>
      </x:c>
      <x:c r="H285" s="37" t="n">
        <x:v>300</x:v>
      </x:c>
      <x:c r="I285" s="37" t="n">
        <x:v>27</x:v>
      </x:c>
      <x:c r="J285" s="37"/>
      <x:c r="K285" s="36" t="n">
        <x:v>300</x:v>
      </x:c>
      <x:c r="L285" s="37"/>
      <x:c r="M285" s="42" t="n">
        <x:f>IF(G285="","",INDEX('規格與範圍'!$B$14:$B$23,MATCH(G285,'規格與範圍'!$A$14:$A$23,0)))</x:f>
        <x:v>0.559</x:v>
      </x:c>
      <x:c r="N285" s="42" t="n">
        <x:f>IF(OR(H285="",I285="",M285=""),"",H285*I285*M285/100)</x:f>
        <x:v>45.279</x:v>
      </x:c>
      <x:c r="O285" s="36" t="str">
        <x:v>友愛街 3F梁版往上 鋼筋料單 114.08.28.XLS｜工作表 05｜原列 48｜左欄</x:v>
      </x:c>
    </x:row>
    <x:row r="286" ht="15" hidden="0" customHeight="1">
      <x:c r="A286" s="40" t="str">
        <x:v>05</x:v>
      </x:c>
      <x:c r="B286" s="40" t="str">
        <x:v>5F</x:v>
      </x:c>
      <x:c r="C286" s="40" t="str">
        <x:v>梁版</x:v>
      </x:c>
      <x:c r="D286" s="40" t="str">
        <x:v>下 層 版 筋</x:v>
      </x:c>
      <x:c r="E286" s="41" t="n">
        <x:v>49</x:v>
      </x:c>
      <x:c r="F286" s="40" t="str">
        <x:v>左欄</x:v>
      </x:c>
      <x:c r="G286" s="38" t="n">
        <x:v>3</x:v>
      </x:c>
      <x:c r="H286" s="37" t="n">
        <x:v>200</x:v>
      </x:c>
      <x:c r="I286" s="37" t="n">
        <x:v>109</x:v>
      </x:c>
      <x:c r="J286" s="37"/>
      <x:c r="K286" s="36" t="n">
        <x:v>200</x:v>
      </x:c>
      <x:c r="L286" s="37"/>
      <x:c r="M286" s="42" t="n">
        <x:f>IF(G286="","",INDEX('規格與範圍'!$B$14:$B$23,MATCH(G286,'規格與範圍'!$A$14:$A$23,0)))</x:f>
        <x:v>0.559</x:v>
      </x:c>
      <x:c r="N286" s="42" t="n">
        <x:f>IF(OR(H286="",I286="",M286=""),"",H286*I286*M286/100)</x:f>
        <x:v>121.86200000000001</x:v>
      </x:c>
      <x:c r="O286" s="36" t="str">
        <x:v>友愛街 3F梁版往上 鋼筋料單 114.08.28.XLS｜工作表 05｜原列 49｜左欄</x:v>
      </x:c>
    </x:row>
    <x:row r="287" ht="15" hidden="0" customHeight="1">
      <x:c r="A287" s="40" t="str">
        <x:v>05</x:v>
      </x:c>
      <x:c r="B287" s="40" t="str">
        <x:v>5F</x:v>
      </x:c>
      <x:c r="C287" s="40" t="str">
        <x:v>梁版</x:v>
      </x:c>
      <x:c r="D287" s="40" t="str">
        <x:v>下 層 版 筋</x:v>
      </x:c>
      <x:c r="E287" s="41" t="n">
        <x:v>50</x:v>
      </x:c>
      <x:c r="F287" s="40" t="str">
        <x:v>左欄</x:v>
      </x:c>
      <x:c r="G287" s="38" t="n">
        <x:v>3</x:v>
      </x:c>
      <x:c r="H287" s="37" t="n">
        <x:v>120</x:v>
      </x:c>
      <x:c r="I287" s="37" t="n">
        <x:v>37</x:v>
      </x:c>
      <x:c r="J287" s="37"/>
      <x:c r="K287" s="36" t="n">
        <x:v>120</x:v>
      </x:c>
      <x:c r="L287" s="37"/>
      <x:c r="M287" s="42" t="n">
        <x:f>IF(G287="","",INDEX('規格與範圍'!$B$14:$B$23,MATCH(G287,'規格與範圍'!$A$14:$A$23,0)))</x:f>
        <x:v>0.559</x:v>
      </x:c>
      <x:c r="N287" s="42" t="n">
        <x:f>IF(OR(H287="",I287="",M287=""),"",H287*I287*M287/100)</x:f>
        <x:v>24.8196</x:v>
      </x:c>
      <x:c r="O287" s="36" t="str">
        <x:v>友愛街 3F梁版往上 鋼筋料單 114.08.28.XLS｜工作表 05｜原列 50｜左欄</x:v>
      </x:c>
    </x:row>
    <x:row r="288" ht="15" hidden="0" customHeight="1">
      <x:c r="A288" s="40" t="str">
        <x:v>05</x:v>
      </x:c>
      <x:c r="B288" s="40" t="str">
        <x:v>5F</x:v>
      </x:c>
      <x:c r="C288" s="40" t="str">
        <x:v>梁版</x:v>
      </x:c>
      <x:c r="D288" s="40" t="str">
        <x:v>下 層 版 筋</x:v>
      </x:c>
      <x:c r="E288" s="41" t="n">
        <x:v>51</x:v>
      </x:c>
      <x:c r="F288" s="40" t="str">
        <x:v>左欄</x:v>
      </x:c>
      <x:c r="G288" s="38" t="n">
        <x:v>3</x:v>
      </x:c>
      <x:c r="H288" s="37" t="n">
        <x:v>105</x:v>
      </x:c>
      <x:c r="I288" s="37" t="n">
        <x:v>11</x:v>
      </x:c>
      <x:c r="J288" s="37"/>
      <x:c r="K288" s="36" t="n">
        <x:v>105</x:v>
      </x:c>
      <x:c r="L288" s="37"/>
      <x:c r="M288" s="42" t="n">
        <x:f>IF(G288="","",INDEX('規格與範圍'!$B$14:$B$23,MATCH(G288,'規格與範圍'!$A$14:$A$23,0)))</x:f>
        <x:v>0.559</x:v>
      </x:c>
      <x:c r="N288" s="42" t="n">
        <x:f>IF(OR(H288="",I288="",M288=""),"",H288*I288*M288/100)</x:f>
        <x:v>6.456450000000001</x:v>
      </x:c>
      <x:c r="O288" s="36" t="str">
        <x:v>友愛街 3F梁版往上 鋼筋料單 114.08.28.XLS｜工作表 05｜原列 51｜左欄</x:v>
      </x:c>
    </x:row>
    <x:row r="289" ht="15" hidden="0" customHeight="1">
      <x:c r="A289" s="40" t="str">
        <x:v>05</x:v>
      </x:c>
      <x:c r="B289" s="40" t="str">
        <x:v>5F</x:v>
      </x:c>
      <x:c r="C289" s="40" t="str">
        <x:v>梁版</x:v>
      </x:c>
      <x:c r="D289" s="40" t="str">
        <x:v>降 版 連 接 筋</x:v>
      </x:c>
      <x:c r="E289" s="41" t="n">
        <x:v>54</x:v>
      </x:c>
      <x:c r="F289" s="40" t="str">
        <x:v>左欄</x:v>
      </x:c>
      <x:c r="G289" s="38" t="n">
        <x:v>4</x:v>
      </x:c>
      <x:c r="H289" s="37" t="n">
        <x:v>150</x:v>
      </x:c>
      <x:c r="I289" s="37" t="n">
        <x:v>96</x:v>
      </x:c>
      <x:c r="J289" s="37"/>
      <x:c r="K289" s="36" t="n">
        <x:v>65</x:v>
      </x:c>
      <x:c r="L289" s="37"/>
      <x:c r="M289" s="42" t="n">
        <x:f>IF(G289="","",INDEX('規格與範圍'!$B$14:$B$23,MATCH(G289,'規格與範圍'!$A$14:$A$23,0)))</x:f>
        <x:v>0.994</x:v>
      </x:c>
      <x:c r="N289" s="42" t="n">
        <x:f>IF(OR(H289="",I289="",M289=""),"",H289*I289*M289/100)</x:f>
        <x:v>143.136</x:v>
      </x:c>
      <x:c r="O289" s="36" t="str">
        <x:v>友愛街 3F梁版往上 鋼筋料單 114.08.28.XLS｜工作表 05｜原列 54｜左欄</x:v>
      </x:c>
    </x:row>
    <x:row r="290" ht="15" hidden="0" customHeight="1">
      <x:c r="A290" s="40" t="str">
        <x:v>05</x:v>
      </x:c>
      <x:c r="B290" s="40" t="str">
        <x:v>5F</x:v>
      </x:c>
      <x:c r="C290" s="40" t="str">
        <x:v>梁版</x:v>
      </x:c>
      <x:c r="D290" s="40" t="str">
        <x:v>降 版 連 接 筋</x:v>
      </x:c>
      <x:c r="E290" s="41" t="n">
        <x:v>57</x:v>
      </x:c>
      <x:c r="F290" s="40" t="str">
        <x:v>左欄</x:v>
      </x:c>
      <x:c r="G290" s="38" t="n">
        <x:v>3</x:v>
      </x:c>
      <x:c r="H290" s="37" t="n">
        <x:v>150</x:v>
      </x:c>
      <x:c r="I290" s="37" t="n">
        <x:v>68</x:v>
      </x:c>
      <x:c r="J290" s="37"/>
      <x:c r="K290" s="36" t="n">
        <x:v>65</x:v>
      </x:c>
      <x:c r="L290" s="37"/>
      <x:c r="M290" s="42" t="n">
        <x:f>IF(G290="","",INDEX('規格與範圍'!$B$14:$B$23,MATCH(G290,'規格與範圍'!$A$14:$A$23,0)))</x:f>
        <x:v>0.559</x:v>
      </x:c>
      <x:c r="N290" s="42" t="n">
        <x:f>IF(OR(H290="",I290="",M290=""),"",H290*I290*M290/100)</x:f>
        <x:v>57.018</x:v>
      </x:c>
      <x:c r="O290" s="36" t="str">
        <x:v>友愛街 3F梁版往上 鋼筋料單 114.08.28.XLS｜工作表 05｜原列 57｜左欄</x:v>
      </x:c>
    </x:row>
    <x:row r="291" ht="15" hidden="0" customHeight="1">
      <x:c r="A291" s="40" t="str">
        <x:v>05</x:v>
      </x:c>
      <x:c r="B291" s="40" t="str">
        <x:v>5F</x:v>
      </x:c>
      <x:c r="C291" s="40" t="str">
        <x:v>梁版</x:v>
      </x:c>
      <x:c r="D291" s="40" t="str">
        <x:v>版 工 作 筋</x:v>
      </x:c>
      <x:c r="E291" s="41" t="n">
        <x:v>61</x:v>
      </x:c>
      <x:c r="F291" s="40" t="str">
        <x:v>左欄</x:v>
      </x:c>
      <x:c r="G291" s="38" t="n">
        <x:v>4</x:v>
      </x:c>
      <x:c r="H291" s="37" t="n">
        <x:v>500</x:v>
      </x:c>
      <x:c r="I291" s="37" t="n">
        <x:v>75</x:v>
      </x:c>
      <x:c r="J291" s="37"/>
      <x:c r="K291" s="36" t="n">
        <x:v>500</x:v>
      </x:c>
      <x:c r="L291" s="37"/>
      <x:c r="M291" s="42" t="n">
        <x:f>IF(G291="","",INDEX('規格與範圍'!$B$14:$B$23,MATCH(G291,'規格與範圍'!$A$14:$A$23,0)))</x:f>
        <x:v>0.994</x:v>
      </x:c>
      <x:c r="N291" s="42" t="n">
        <x:f>IF(OR(H291="",I291="",M291=""),"",H291*I291*M291/100)</x:f>
        <x:v>372.75</x:v>
      </x:c>
      <x:c r="O291" s="36" t="str">
        <x:v>友愛街 3F梁版往上 鋼筋料單 114.08.28.XLS｜工作表 05｜原列 61｜左欄</x:v>
      </x:c>
    </x:row>
    <x:row r="292" ht="15" hidden="0" customHeight="1">
      <x:c r="A292" s="40" t="str">
        <x:v>05</x:v>
      </x:c>
      <x:c r="B292" s="40" t="str">
        <x:v>5F</x:v>
      </x:c>
      <x:c r="C292" s="40" t="str">
        <x:v>梁版</x:v>
      </x:c>
      <x:c r="D292" s="40" t="str">
        <x:v>版 工 作 筋</x:v>
      </x:c>
      <x:c r="E292" s="41" t="n">
        <x:v>63</x:v>
      </x:c>
      <x:c r="F292" s="40" t="str">
        <x:v>左欄</x:v>
      </x:c>
      <x:c r="G292" s="38" t="n">
        <x:v>4</x:v>
      </x:c>
      <x:c r="H292" s="37" t="n">
        <x:v>106</x:v>
      </x:c>
      <x:c r="I292" s="37" t="n">
        <x:v>150</x:v>
      </x:c>
      <x:c r="J292" s="37" t="n">
        <x:v>30</x:v>
      </x:c>
      <x:c r="K292" s="36"/>
      <x:c r="L292" s="37" t="n">
        <x:v>8</x:v>
      </x:c>
      <x:c r="M292" s="42" t="n">
        <x:f>IF(G292="","",INDEX('規格與範圍'!$B$14:$B$23,MATCH(G292,'規格與範圍'!$A$14:$A$23,0)))</x:f>
        <x:v>0.994</x:v>
      </x:c>
      <x:c r="N292" s="42" t="n">
        <x:f>IF(OR(H292="",I292="",M292=""),"",H292*I292*M292/100)</x:f>
        <x:v>158.046</x:v>
      </x:c>
      <x:c r="O292" s="36" t="str">
        <x:v>友愛街 3F梁版往上 鋼筋料單 114.08.28.XLS｜工作表 05｜原列 63｜左欄</x:v>
      </x:c>
    </x:row>
    <x:row r="293" ht="15" hidden="0" customHeight="1">
      <x:c r="A293" s="40" t="str">
        <x:v>05</x:v>
      </x:c>
      <x:c r="B293" s="40" t="str">
        <x:v>5F</x:v>
      </x:c>
      <x:c r="C293" s="40" t="str">
        <x:v>梁版</x:v>
      </x:c>
      <x:c r="D293" s="40" t="str">
        <x:v>牆 預 留 筋</x:v>
      </x:c>
      <x:c r="E293" s="41" t="n">
        <x:v>67</x:v>
      </x:c>
      <x:c r="F293" s="40" t="str">
        <x:v>左欄</x:v>
      </x:c>
      <x:c r="G293" s="38" t="n">
        <x:v>3</x:v>
      </x:c>
      <x:c r="H293" s="37" t="n">
        <x:v>75</x:v>
      </x:c>
      <x:c r="I293" s="37" t="n">
        <x:v>140</x:v>
      </x:c>
      <x:c r="J293" s="37"/>
      <x:c r="K293" s="36" t="n">
        <x:v>60</x:v>
      </x:c>
      <x:c r="L293" s="37" t="n">
        <x:v>15</x:v>
      </x:c>
      <x:c r="M293" s="42" t="n">
        <x:f>IF(G293="","",INDEX('規格與範圍'!$B$14:$B$23,MATCH(G293,'規格與範圍'!$A$14:$A$23,0)))</x:f>
        <x:v>0.559</x:v>
      </x:c>
      <x:c r="N293" s="42" t="n">
        <x:f>IF(OR(H293="",I293="",M293=""),"",H293*I293*M293/100)</x:f>
        <x:v>58.69500000000001</x:v>
      </x:c>
      <x:c r="O293" s="36" t="str">
        <x:v>友愛街 3F梁版往上 鋼筋料單 114.08.28.XLS｜工作表 05｜原列 67｜左欄</x:v>
      </x:c>
    </x:row>
    <x:row r="294" ht="15" hidden="0" customHeight="1">
      <x:c r="A294" s="40" t="str">
        <x:v>05</x:v>
      </x:c>
      <x:c r="B294" s="40" t="str">
        <x:v>5F</x:v>
      </x:c>
      <x:c r="C294" s="40" t="str">
        <x:v>梁版</x:v>
      </x:c>
      <x:c r="D294" s="40" t="str">
        <x:v>牆 預 留 筋</x:v>
      </x:c>
      <x:c r="E294" s="41" t="n">
        <x:v>68</x:v>
      </x:c>
      <x:c r="F294" s="40" t="str">
        <x:v>左欄</x:v>
      </x:c>
      <x:c r="G294" s="38" t="n">
        <x:v>3</x:v>
      </x:c>
      <x:c r="H294" s="37" t="n">
        <x:v>135</x:v>
      </x:c>
      <x:c r="I294" s="37" t="n">
        <x:v>250</x:v>
      </x:c>
      <x:c r="J294" s="37"/>
      <x:c r="K294" s="36" t="n">
        <x:v>135</x:v>
      </x:c>
      <x:c r="L294" s="37"/>
      <x:c r="M294" s="42" t="n">
        <x:f>IF(G294="","",INDEX('規格與範圍'!$B$14:$B$23,MATCH(G294,'規格與範圍'!$A$14:$A$23,0)))</x:f>
        <x:v>0.559</x:v>
      </x:c>
      <x:c r="N294" s="42" t="n">
        <x:f>IF(OR(H294="",I294="",M294=""),"",H294*I294*M294/100)</x:f>
        <x:v>188.6625</x:v>
      </x:c>
      <x:c r="O294" s="36" t="str">
        <x:v>友愛街 3F梁版往上 鋼筋料單 114.08.28.XLS｜工作表 05｜原列 68｜左欄</x:v>
      </x:c>
    </x:row>
    <x:row r="295" ht="15" hidden="0" customHeight="1">
      <x:c r="A295" s="40" t="str">
        <x:v>05</x:v>
      </x:c>
      <x:c r="B295" s="40" t="str">
        <x:v>5F</x:v>
      </x:c>
      <x:c r="C295" s="40" t="str">
        <x:v>梁版</x:v>
      </x:c>
      <x:c r="D295" s="40" t="str">
        <x:v>梁 上 再 生 柱 筋</x:v>
      </x:c>
      <x:c r="E295" s="41" t="n">
        <x:v>71</x:v>
      </x:c>
      <x:c r="F295" s="40" t="str">
        <x:v>左欄</x:v>
      </x:c>
      <x:c r="G295" s="38" t="n">
        <x:v>7</x:v>
      </x:c>
      <x:c r="H295" s="37" t="n">
        <x:v>230</x:v>
      </x:c>
      <x:c r="I295" s="37" t="n">
        <x:v>8</x:v>
      </x:c>
      <x:c r="J295" s="37"/>
      <x:c r="K295" s="36" t="n">
        <x:v>230</x:v>
      </x:c>
      <x:c r="L295" s="37"/>
      <x:c r="M295" s="42" t="n">
        <x:f>IF(G295="","",INDEX('規格與範圍'!$B$14:$B$23,MATCH(G295,'規格與範圍'!$A$14:$A$23,0)))</x:f>
        <x:v>3.05</x:v>
      </x:c>
      <x:c r="N295" s="42" t="n">
        <x:f>IF(OR(H295="",I295="",M295=""),"",H295*I295*M295/100)</x:f>
        <x:v>56.12</x:v>
      </x:c>
      <x:c r="O295" s="36" t="str">
        <x:v>友愛街 3F梁版往上 鋼筋料單 114.08.28.XLS｜工作表 05｜原列 71｜左欄</x:v>
      </x:c>
    </x:row>
    <x:row r="296" ht="15" hidden="0" customHeight="1">
      <x:c r="A296" s="40" t="str">
        <x:v>05</x:v>
      </x:c>
      <x:c r="B296" s="40" t="str">
        <x:v>5F</x:v>
      </x:c>
      <x:c r="C296" s="40" t="str">
        <x:v>梁版</x:v>
      </x:c>
      <x:c r="D296" s="40" t="str">
        <x:v>梁 上 再 生 柱 筋</x:v>
      </x:c>
      <x:c r="E296" s="41" t="n">
        <x:v>72</x:v>
      </x:c>
      <x:c r="F296" s="40" t="str">
        <x:v>左欄</x:v>
      </x:c>
      <x:c r="G296" s="38" t="n">
        <x:v>7</x:v>
      </x:c>
      <x:c r="H296" s="37" t="n">
        <x:v>150</x:v>
      </x:c>
      <x:c r="I296" s="37" t="n">
        <x:v>8</x:v>
      </x:c>
      <x:c r="J296" s="37"/>
      <x:c r="K296" s="36" t="n">
        <x:v>150</x:v>
      </x:c>
      <x:c r="L296" s="37"/>
      <x:c r="M296" s="42" t="n">
        <x:f>IF(G296="","",INDEX('規格與範圍'!$B$14:$B$23,MATCH(G296,'規格與範圍'!$A$14:$A$23,0)))</x:f>
        <x:v>3.05</x:v>
      </x:c>
      <x:c r="N296" s="42" t="n">
        <x:f>IF(OR(H296="",I296="",M296=""),"",H296*I296*M296/100)</x:f>
        <x:v>36.6</x:v>
      </x:c>
      <x:c r="O296" s="36" t="str">
        <x:v>友愛街 3F梁版往上 鋼筋料單 114.08.28.XLS｜工作表 05｜原列 72｜左欄</x:v>
      </x:c>
    </x:row>
    <x:row r="297" ht="15" hidden="0" customHeight="1">
      <x:c r="A297" s="40" t="str">
        <x:v>05</x:v>
      </x:c>
      <x:c r="B297" s="40" t="str">
        <x:v>5F</x:v>
      </x:c>
      <x:c r="C297" s="40" t="str">
        <x:v>梁版</x:v>
      </x:c>
      <x:c r="D297" s="40" t="str">
        <x:v>梁 上 再 生 柱 筋</x:v>
      </x:c>
      <x:c r="E297" s="41" t="n">
        <x:v>74</x:v>
      </x:c>
      <x:c r="F297" s="40" t="str">
        <x:v>左欄</x:v>
      </x:c>
      <x:c r="G297" s="38" t="n">
        <x:v>4</x:v>
      </x:c>
      <x:c r="H297" s="37" t="n">
        <x:v>126</x:v>
      </x:c>
      <x:c r="I297" s="37" t="n">
        <x:v>6</x:v>
      </x:c>
      <x:c r="J297" s="37" t="n">
        <x:v>13</x:v>
      </x:c>
      <x:c r="K297" s="36"/>
      <x:c r="L297" s="37" t="n">
        <x:v>25</x:v>
      </x:c>
      <x:c r="M297" s="42" t="n">
        <x:f>IF(G297="","",INDEX('規格與範圍'!$B$14:$B$23,MATCH(G297,'規格與範圍'!$A$14:$A$23,0)))</x:f>
        <x:v>0.994</x:v>
      </x:c>
      <x:c r="N297" s="42" t="n">
        <x:f>IF(OR(H297="",I297="",M297=""),"",H297*I297*M297/100)</x:f>
        <x:v>7.514639999999999</x:v>
      </x:c>
      <x:c r="O297" s="36" t="str">
        <x:v>友愛街 3F梁版往上 鋼筋料單 114.08.28.XLS｜工作表 05｜原列 74｜左欄</x:v>
      </x:c>
    </x:row>
    <x:row r="298" ht="15" hidden="0" customHeight="1">
      <x:c r="A298" s="40" t="str">
        <x:v>05</x:v>
      </x:c>
      <x:c r="B298" s="40" t="str">
        <x:v>5F</x:v>
      </x:c>
      <x:c r="C298" s="40" t="str">
        <x:v>梁版</x:v>
      </x:c>
      <x:c r="D298" s="40" t="str">
        <x:v>箍 筋</x:v>
      </x:c>
      <x:c r="E298" s="41" t="n">
        <x:v>5</x:v>
      </x:c>
      <x:c r="F298" s="40" t="str">
        <x:v>右欄</x:v>
      </x:c>
      <x:c r="G298" s="38" t="n">
        <x:v>4</x:v>
      </x:c>
      <x:c r="H298" s="37" t="n">
        <x:v>186</x:v>
      </x:c>
      <x:c r="I298" s="37" t="n">
        <x:v>226</x:v>
      </x:c>
      <x:c r="J298" s="37" t="str">
        <x:v>13 / 13</x:v>
      </x:c>
      <x:c r="K298" s="36"/>
      <x:c r="L298" s="37" t="n">
        <x:v>60</x:v>
      </x:c>
      <x:c r="M298" s="42" t="n">
        <x:f>IF(G298="","",INDEX('規格與範圍'!$B$14:$B$23,MATCH(G298,'規格與範圍'!$A$14:$A$23,0)))</x:f>
        <x:v>0.994</x:v>
      </x:c>
      <x:c r="N298" s="42" t="n">
        <x:f>IF(OR(H298="",I298="",M298=""),"",H298*I298*M298/100)</x:f>
        <x:v>417.83783999999997</x:v>
      </x:c>
      <x:c r="O298" s="36" t="str">
        <x:v>友愛街 3F梁版往上 鋼筋料單 114.08.28.XLS｜工作表 05｜原列 5｜右欄</x:v>
      </x:c>
    </x:row>
    <x:row r="299" ht="15" hidden="0" customHeight="1">
      <x:c r="A299" s="40" t="str">
        <x:v>05</x:v>
      </x:c>
      <x:c r="B299" s="40" t="str">
        <x:v>5F</x:v>
      </x:c>
      <x:c r="C299" s="40" t="str">
        <x:v>梁版</x:v>
      </x:c>
      <x:c r="D299" s="40" t="str">
        <x:v>箍 筋</x:v>
      </x:c>
      <x:c r="E299" s="41" t="n">
        <x:v>7</x:v>
      </x:c>
      <x:c r="F299" s="40" t="str">
        <x:v>右欄</x:v>
      </x:c>
      <x:c r="G299" s="38" t="n">
        <x:v>4</x:v>
      </x:c>
      <x:c r="H299" s="37" t="n">
        <x:v>176</x:v>
      </x:c>
      <x:c r="I299" s="37" t="n">
        <x:v>142</x:v>
      </x:c>
      <x:c r="J299" s="37" t="str">
        <x:v>13 / 13</x:v>
      </x:c>
      <x:c r="K299" s="36"/>
      <x:c r="L299" s="37" t="n">
        <x:v>60</x:v>
      </x:c>
      <x:c r="M299" s="42" t="n">
        <x:f>IF(G299="","",INDEX('規格與範圍'!$B$14:$B$23,MATCH(G299,'規格與範圍'!$A$14:$A$23,0)))</x:f>
        <x:v>0.994</x:v>
      </x:c>
      <x:c r="N299" s="42" t="n">
        <x:f>IF(OR(H299="",I299="",M299=""),"",H299*I299*M299/100)</x:f>
        <x:v>248.42048</x:v>
      </x:c>
      <x:c r="O299" s="36" t="str">
        <x:v>友愛街 3F梁版往上 鋼筋料單 114.08.28.XLS｜工作表 05｜原列 7｜右欄</x:v>
      </x:c>
    </x:row>
    <x:row r="300" ht="15" hidden="0" customHeight="1">
      <x:c r="A300" s="40" t="str">
        <x:v>05</x:v>
      </x:c>
      <x:c r="B300" s="40" t="str">
        <x:v>5F</x:v>
      </x:c>
      <x:c r="C300" s="40" t="str">
        <x:v>梁版</x:v>
      </x:c>
      <x:c r="D300" s="40" t="str">
        <x:v>箍 筋</x:v>
      </x:c>
      <x:c r="E300" s="41" t="n">
        <x:v>9</x:v>
      </x:c>
      <x:c r="F300" s="40" t="str">
        <x:v>右欄</x:v>
      </x:c>
      <x:c r="G300" s="38" t="n">
        <x:v>4</x:v>
      </x:c>
      <x:c r="H300" s="37" t="n">
        <x:v>151</x:v>
      </x:c>
      <x:c r="I300" s="37" t="n">
        <x:v>198</x:v>
      </x:c>
      <x:c r="J300" s="37" t="str">
        <x:v>13 / 13</x:v>
      </x:c>
      <x:c r="K300" s="36"/>
      <x:c r="L300" s="37" t="n">
        <x:v>50</x:v>
      </x:c>
      <x:c r="M300" s="42" t="n">
        <x:f>IF(G300="","",INDEX('規格與範圍'!$B$14:$B$23,MATCH(G300,'規格與範圍'!$A$14:$A$23,0)))</x:f>
        <x:v>0.994</x:v>
      </x:c>
      <x:c r="N300" s="42" t="n">
        <x:f>IF(OR(H300="",I300="",M300=""),"",H300*I300*M300/100)</x:f>
        <x:v>297.18612</x:v>
      </x:c>
      <x:c r="O300" s="36" t="str">
        <x:v>友愛街 3F梁版往上 鋼筋料單 114.08.28.XLS｜工作表 05｜原列 9｜右欄</x:v>
      </x:c>
    </x:row>
    <x:row r="301" ht="15" hidden="0" customHeight="1">
      <x:c r="A301" s="40" t="str">
        <x:v>05</x:v>
      </x:c>
      <x:c r="B301" s="40" t="str">
        <x:v>5F</x:v>
      </x:c>
      <x:c r="C301" s="40" t="str">
        <x:v>梁版</x:v>
      </x:c>
      <x:c r="D301" s="40" t="str">
        <x:v>箍 筋</x:v>
      </x:c>
      <x:c r="E301" s="41" t="n">
        <x:v>11</x:v>
      </x:c>
      <x:c r="F301" s="40" t="str">
        <x:v>右欄</x:v>
      </x:c>
      <x:c r="G301" s="38" t="n">
        <x:v>4</x:v>
      </x:c>
      <x:c r="H301" s="37" t="n">
        <x:v>111</x:v>
      </x:c>
      <x:c r="I301" s="37" t="n">
        <x:v>40</x:v>
      </x:c>
      <x:c r="J301" s="37" t="str">
        <x:v>13 / 13</x:v>
      </x:c>
      <x:c r="K301" s="36"/>
      <x:c r="L301" s="37" t="n">
        <x:v>30</x:v>
      </x:c>
      <x:c r="M301" s="42" t="n">
        <x:f>IF(G301="","",INDEX('規格與範圍'!$B$14:$B$23,MATCH(G301,'規格與範圍'!$A$14:$A$23,0)))</x:f>
        <x:v>0.994</x:v>
      </x:c>
      <x:c r="N301" s="42" t="n">
        <x:f>IF(OR(H301="",I301="",M301=""),"",H301*I301*M301/100)</x:f>
        <x:v>44.133599999999994</x:v>
      </x:c>
      <x:c r="O301" s="36" t="str">
        <x:v>友愛街 3F梁版往上 鋼筋料單 114.08.28.XLS｜工作表 05｜原列 11｜右欄</x:v>
      </x:c>
    </x:row>
    <x:row r="302" ht="15" hidden="0" customHeight="1">
      <x:c r="A302" s="40" t="str">
        <x:v>05</x:v>
      </x:c>
      <x:c r="B302" s="40" t="str">
        <x:v>5F</x:v>
      </x:c>
      <x:c r="C302" s="40" t="str">
        <x:v>梁版</x:v>
      </x:c>
      <x:c r="D302" s="40" t="str">
        <x:v>箍 筋</x:v>
      </x:c>
      <x:c r="E302" s="41" t="n">
        <x:v>13</x:v>
      </x:c>
      <x:c r="F302" s="40" t="str">
        <x:v>右欄</x:v>
      </x:c>
      <x:c r="G302" s="38" t="n">
        <x:v>3</x:v>
      </x:c>
      <x:c r="H302" s="37" t="n">
        <x:v>99</x:v>
      </x:c>
      <x:c r="I302" s="37" t="n">
        <x:v>63</x:v>
      </x:c>
      <x:c r="J302" s="37" t="str">
        <x:v>11 / 11</x:v>
      </x:c>
      <x:c r="K302" s="36"/>
      <x:c r="L302" s="37" t="n">
        <x:v>30</x:v>
      </x:c>
      <x:c r="M302" s="42" t="n">
        <x:f>IF(G302="","",INDEX('規格與範圍'!$B$14:$B$23,MATCH(G302,'規格與範圍'!$A$14:$A$23,0)))</x:f>
        <x:v>0.559</x:v>
      </x:c>
      <x:c r="N302" s="42" t="n">
        <x:f>IF(OR(H302="",I302="",M302=""),"",H302*I302*M302/100)</x:f>
        <x:v>34.864830000000005</x:v>
      </x:c>
      <x:c r="O302" s="36" t="str">
        <x:v>友愛街 3F梁版往上 鋼筋料單 114.08.28.XLS｜工作表 05｜原列 13｜右欄</x:v>
      </x:c>
    </x:row>
    <x:row r="303" ht="15" hidden="0" customHeight="1">
      <x:c r="A303" s="40" t="str">
        <x:v>05</x:v>
      </x:c>
      <x:c r="B303" s="40" t="str">
        <x:v>5F</x:v>
      </x:c>
      <x:c r="C303" s="40" t="str">
        <x:v>梁版</x:v>
      </x:c>
      <x:c r="D303" s="40" t="str">
        <x:v>箍 筋</x:v>
      </x:c>
      <x:c r="E303" s="41" t="n">
        <x:v>16</x:v>
      </x:c>
      <x:c r="F303" s="40" t="str">
        <x:v>右欄</x:v>
      </x:c>
      <x:c r="G303" s="38" t="n">
        <x:v>4</x:v>
      </x:c>
      <x:c r="H303" s="37" t="n">
        <x:v>65</x:v>
      </x:c>
      <x:c r="I303" s="37" t="n">
        <x:v>226</x:v>
      </x:c>
      <x:c r="J303" s="37" t="n">
        <x:v>12</x:v>
      </x:c>
      <x:c r="K303" s="36" t="n">
        <x:v>40</x:v>
      </x:c>
      <x:c r="L303" s="37" t="n">
        <x:v>13</x:v>
      </x:c>
      <x:c r="M303" s="42" t="n">
        <x:f>IF(G303="","",INDEX('規格與範圍'!$B$14:$B$23,MATCH(G303,'規格與範圍'!$A$14:$A$23,0)))</x:f>
        <x:v>0.994</x:v>
      </x:c>
      <x:c r="N303" s="42" t="n">
        <x:f>IF(OR(H303="",I303="",M303=""),"",H303*I303*M303/100)</x:f>
        <x:v>146.0186</x:v>
      </x:c>
      <x:c r="O303" s="36" t="str">
        <x:v>友愛街 3F梁版往上 鋼筋料單 114.08.28.XLS｜工作表 05｜原列 16｜右欄</x:v>
      </x:c>
    </x:row>
    <x:row r="304" ht="15" hidden="0" customHeight="1">
      <x:c r="A304" s="40" t="str">
        <x:v>05</x:v>
      </x:c>
      <x:c r="B304" s="40" t="str">
        <x:v>5F</x:v>
      </x:c>
      <x:c r="C304" s="40" t="str">
        <x:v>梁版</x:v>
      </x:c>
      <x:c r="D304" s="40" t="str">
        <x:v>箍 筋</x:v>
      </x:c>
      <x:c r="E304" s="41" t="n">
        <x:v>17</x:v>
      </x:c>
      <x:c r="F304" s="40" t="str">
        <x:v>右欄</x:v>
      </x:c>
      <x:c r="G304" s="38" t="n">
        <x:v>4</x:v>
      </x:c>
      <x:c r="H304" s="37" t="n">
        <x:v>55</x:v>
      </x:c>
      <x:c r="I304" s="37" t="n">
        <x:v>142</x:v>
      </x:c>
      <x:c r="J304" s="37" t="n">
        <x:v>12</x:v>
      </x:c>
      <x:c r="K304" s="36" t="n">
        <x:v>30</x:v>
      </x:c>
      <x:c r="L304" s="37" t="n">
        <x:v>13</x:v>
      </x:c>
      <x:c r="M304" s="42" t="n">
        <x:f>IF(G304="","",INDEX('規格與範圍'!$B$14:$B$23,MATCH(G304,'規格與範圍'!$A$14:$A$23,0)))</x:f>
        <x:v>0.994</x:v>
      </x:c>
      <x:c r="N304" s="42" t="n">
        <x:f>IF(OR(H304="",I304="",M304=""),"",H304*I304*M304/100)</x:f>
        <x:v>77.6314</x:v>
      </x:c>
      <x:c r="O304" s="36" t="str">
        <x:v>友愛街 3F梁版往上 鋼筋料單 114.08.28.XLS｜工作表 05｜原列 17｜右欄</x:v>
      </x:c>
    </x:row>
    <x:row r="305" ht="15" hidden="0" customHeight="1">
      <x:c r="A305" s="40" t="str">
        <x:v>05</x:v>
      </x:c>
      <x:c r="B305" s="40" t="str">
        <x:v>5F</x:v>
      </x:c>
      <x:c r="C305" s="40" t="str">
        <x:v>梁版</x:v>
      </x:c>
      <x:c r="D305" s="40" t="str">
        <x:v>箍 筋</x:v>
      </x:c>
      <x:c r="E305" s="41" t="n">
        <x:v>18</x:v>
      </x:c>
      <x:c r="F305" s="40" t="str">
        <x:v>右欄</x:v>
      </x:c>
      <x:c r="G305" s="38" t="n">
        <x:v>4</x:v>
      </x:c>
      <x:c r="H305" s="37" t="n">
        <x:v>50</x:v>
      </x:c>
      <x:c r="I305" s="37" t="n">
        <x:v>238</x:v>
      </x:c>
      <x:c r="J305" s="37" t="n">
        <x:v>12</x:v>
      </x:c>
      <x:c r="K305" s="36" t="n">
        <x:v>25</x:v>
      </x:c>
      <x:c r="L305" s="37" t="n">
        <x:v>13</x:v>
      </x:c>
      <x:c r="M305" s="42" t="n">
        <x:f>IF(G305="","",INDEX('規格與範圍'!$B$14:$B$23,MATCH(G305,'規格與範圍'!$A$14:$A$23,0)))</x:f>
        <x:v>0.994</x:v>
      </x:c>
      <x:c r="N305" s="42" t="n">
        <x:f>IF(OR(H305="",I305="",M305=""),"",H305*I305*M305/100)</x:f>
        <x:v>118.286</x:v>
      </x:c>
      <x:c r="O305" s="36" t="str">
        <x:v>友愛街 3F梁版往上 鋼筋料單 114.08.28.XLS｜工作表 05｜原列 18｜右欄</x:v>
      </x:c>
    </x:row>
    <x:row r="306" ht="15" hidden="0" customHeight="1">
      <x:c r="A306" s="40" t="str">
        <x:v>05</x:v>
      </x:c>
      <x:c r="B306" s="40" t="str">
        <x:v>5F</x:v>
      </x:c>
      <x:c r="C306" s="40" t="str">
        <x:v>梁版</x:v>
      </x:c>
      <x:c r="D306" s="40" t="str">
        <x:v>箍 筋</x:v>
      </x:c>
      <x:c r="E306" s="41" t="n">
        <x:v>19</x:v>
      </x:c>
      <x:c r="F306" s="40" t="str">
        <x:v>右欄</x:v>
      </x:c>
      <x:c r="G306" s="38" t="n">
        <x:v>3</x:v>
      </x:c>
      <x:c r="H306" s="37" t="n">
        <x:v>37</x:v>
      </x:c>
      <x:c r="I306" s="37" t="n">
        <x:v>63</x:v>
      </x:c>
      <x:c r="J306" s="37" t="n">
        <x:v>9</x:v>
      </x:c>
      <x:c r="K306" s="36" t="n">
        <x:v>17</x:v>
      </x:c>
      <x:c r="L306" s="37" t="n">
        <x:v>11</x:v>
      </x:c>
      <x:c r="M306" s="42" t="n">
        <x:f>IF(G306="","",INDEX('規格與範圍'!$B$14:$B$23,MATCH(G306,'規格與範圍'!$A$14:$A$23,0)))</x:f>
        <x:v>0.559</x:v>
      </x:c>
      <x:c r="N306" s="42" t="n">
        <x:f>IF(OR(H306="",I306="",M306=""),"",H306*I306*M306/100)</x:f>
        <x:v>13.030290000000003</x:v>
      </x:c>
      <x:c r="O306" s="36" t="str">
        <x:v>友愛街 3F梁版往上 鋼筋料單 114.08.28.XLS｜工作表 05｜原列 19｜右欄</x:v>
      </x:c>
    </x:row>
    <x:row r="307" ht="15" hidden="0" customHeight="1">
      <x:c r="A307" s="40" t="str">
        <x:v>05</x:v>
      </x:c>
      <x:c r="B307" s="40" t="str">
        <x:v>5F</x:v>
      </x:c>
      <x:c r="C307" s="40" t="str">
        <x:v>梁版</x:v>
      </x:c>
      <x:c r="D307" s="40" t="str">
        <x:v>梁 工 作 筋</x:v>
      </x:c>
      <x:c r="E307" s="41" t="n">
        <x:v>22</x:v>
      </x:c>
      <x:c r="F307" s="40" t="str">
        <x:v>右欄</x:v>
      </x:c>
      <x:c r="G307" s="38" t="n">
        <x:v>8</x:v>
      </x:c>
      <x:c r="H307" s="37" t="n">
        <x:v>70</x:v>
      </x:c>
      <x:c r="I307" s="37" t="n">
        <x:v>30</x:v>
      </x:c>
      <x:c r="J307" s="37" t="n">
        <x:v>0</x:v>
      </x:c>
      <x:c r="K307" s="36" t="n">
        <x:v>70</x:v>
      </x:c>
      <x:c r="L307" s="37" t="n">
        <x:v>0</x:v>
      </x:c>
      <x:c r="M307" s="42" t="n">
        <x:f>IF(G307="","",INDEX('規格與範圍'!$B$14:$B$23,MATCH(G307,'規格與範圍'!$A$14:$A$23,0)))</x:f>
        <x:v>3.98</x:v>
      </x:c>
      <x:c r="N307" s="42" t="n">
        <x:f>IF(OR(H307="",I307="",M307=""),"",H307*I307*M307/100)</x:f>
        <x:v>83.58</x:v>
      </x:c>
      <x:c r="O307" s="36" t="str">
        <x:v>友愛街 3F梁版往上 鋼筋料單 114.08.28.XLS｜工作表 05｜原列 22｜右欄</x:v>
      </x:c>
    </x:row>
    <x:row r="308" ht="15" hidden="0" customHeight="1">
      <x:c r="A308" s="40" t="str">
        <x:v>05</x:v>
      </x:c>
      <x:c r="B308" s="40" t="str">
        <x:v>5F</x:v>
      </x:c>
      <x:c r="C308" s="40" t="str">
        <x:v>梁版</x:v>
      </x:c>
      <x:c r="D308" s="40" t="str">
        <x:v>梁 工 作 筋</x:v>
      </x:c>
      <x:c r="E308" s="41" t="n">
        <x:v>23</x:v>
      </x:c>
      <x:c r="F308" s="40" t="str">
        <x:v>右欄</x:v>
      </x:c>
      <x:c r="G308" s="38" t="n">
        <x:v>3</x:v>
      </x:c>
      <x:c r="H308" s="37" t="n">
        <x:v>50</x:v>
      </x:c>
      <x:c r="I308" s="37" t="n">
        <x:v>15</x:v>
      </x:c>
      <x:c r="J308" s="37"/>
      <x:c r="K308" s="36" t="n">
        <x:v>50</x:v>
      </x:c>
      <x:c r="L308" s="37"/>
      <x:c r="M308" s="42" t="n">
        <x:f>IF(G308="","",INDEX('規格與範圍'!$B$14:$B$23,MATCH(G308,'規格與範圍'!$A$14:$A$23,0)))</x:f>
        <x:v>0.559</x:v>
      </x:c>
      <x:c r="N308" s="42" t="n">
        <x:f>IF(OR(H308="",I308="",M308=""),"",H308*I308*M308/100)</x:f>
        <x:v>4.192500000000001</x:v>
      </x:c>
      <x:c r="O308" s="36" t="str">
        <x:v>友愛街 3F梁版往上 鋼筋料單 114.08.28.XLS｜工作表 05｜原列 23｜右欄</x:v>
      </x:c>
    </x:row>
    <x:row r="309" ht="15" hidden="0" customHeight="1">
      <x:c r="A309" s="40" t="str">
        <x:v>05</x:v>
      </x:c>
      <x:c r="B309" s="40" t="str">
        <x:v>5F</x:v>
      </x:c>
      <x:c r="C309" s="40" t="str">
        <x:v>梁版</x:v>
      </x:c>
      <x:c r="D309" s="40" t="str">
        <x:v>腰 筋</x:v>
      </x:c>
      <x:c r="E309" s="41" t="n">
        <x:v>26</x:v>
      </x:c>
      <x:c r="F309" s="40" t="str">
        <x:v>右欄</x:v>
      </x:c>
      <x:c r="G309" s="38" t="n">
        <x:v>4</x:v>
      </x:c>
      <x:c r="H309" s="37" t="n">
        <x:v>500</x:v>
      </x:c>
      <x:c r="I309" s="37" t="n">
        <x:v>16</x:v>
      </x:c>
      <x:c r="J309" s="37" t="n">
        <x:v>0</x:v>
      </x:c>
      <x:c r="K309" s="36" t="n">
        <x:v>500</x:v>
      </x:c>
      <x:c r="L309" s="37" t="n">
        <x:v>0</x:v>
      </x:c>
      <x:c r="M309" s="42" t="n">
        <x:f>IF(G309="","",INDEX('規格與範圍'!$B$14:$B$23,MATCH(G309,'規格與範圍'!$A$14:$A$23,0)))</x:f>
        <x:v>0.994</x:v>
      </x:c>
      <x:c r="N309" s="42" t="n">
        <x:f>IF(OR(H309="",I309="",M309=""),"",H309*I309*M309/100)</x:f>
        <x:v>79.52</x:v>
      </x:c>
      <x:c r="O309" s="36" t="str">
        <x:v>友愛街 3F梁版往上 鋼筋料單 114.08.28.XLS｜工作表 05｜原列 26｜右欄</x:v>
      </x:c>
    </x:row>
    <x:row r="310" ht="15" hidden="0" customHeight="1">
      <x:c r="A310" s="40" t="str">
        <x:v>05</x:v>
      </x:c>
      <x:c r="B310" s="40" t="str">
        <x:v>5F</x:v>
      </x:c>
      <x:c r="C310" s="40" t="str">
        <x:v>梁版</x:v>
      </x:c>
      <x:c r="D310" s="40" t="str">
        <x:v>預 留 續 接</x:v>
      </x:c>
      <x:c r="E310" s="41" t="n">
        <x:v>29</x:v>
      </x:c>
      <x:c r="F310" s="40" t="str">
        <x:v>右欄</x:v>
      </x:c>
      <x:c r="G310" s="38" t="n">
        <x:v>7</x:v>
      </x:c>
      <x:c r="H310" s="37" t="n">
        <x:v>500</x:v>
      </x:c>
      <x:c r="I310" s="37" t="n">
        <x:v>22</x:v>
      </x:c>
      <x:c r="J310" s="37"/>
      <x:c r="K310" s="36" t="n">
        <x:v>500</x:v>
      </x:c>
      <x:c r="L310" s="37"/>
      <x:c r="M310" s="42" t="n">
        <x:f>IF(G310="","",INDEX('規格與範圍'!$B$14:$B$23,MATCH(G310,'規格與範圍'!$A$14:$A$23,0)))</x:f>
        <x:v>3.05</x:v>
      </x:c>
      <x:c r="N310" s="42" t="n">
        <x:f>IF(OR(H310="",I310="",M310=""),"",H310*I310*M310/100)</x:f>
        <x:v>335.5</x:v>
      </x:c>
      <x:c r="O310" s="36" t="str">
        <x:v>友愛街 3F梁版往上 鋼筋料單 114.08.28.XLS｜工作表 05｜原列 29｜右欄</x:v>
      </x:c>
    </x:row>
    <x:row r="311" ht="15" hidden="0" customHeight="1">
      <x:c r="A311" s="40" t="str">
        <x:v>05</x:v>
      </x:c>
      <x:c r="B311" s="40" t="str">
        <x:v>5F</x:v>
      </x:c>
      <x:c r="C311" s="40" t="str">
        <x:v>梁版</x:v>
      </x:c>
      <x:c r="D311" s="40" t="str">
        <x:v>上 層 版 筋</x:v>
      </x:c>
      <x:c r="E311" s="41" t="n">
        <x:v>33</x:v>
      </x:c>
      <x:c r="F311" s="40" t="str">
        <x:v>右欄</x:v>
      </x:c>
      <x:c r="G311" s="38" t="n">
        <x:v>4</x:v>
      </x:c>
      <x:c r="H311" s="37" t="n">
        <x:v>400</x:v>
      </x:c>
      <x:c r="I311" s="37" t="n">
        <x:v>134</x:v>
      </x:c>
      <x:c r="J311" s="37"/>
      <x:c r="K311" s="36" t="n">
        <x:v>380</x:v>
      </x:c>
      <x:c r="L311" s="37" t="n">
        <x:v>20</x:v>
      </x:c>
      <x:c r="M311" s="42" t="n">
        <x:f>IF(G311="","",INDEX('規格與範圍'!$B$14:$B$23,MATCH(G311,'規格與範圍'!$A$14:$A$23,0)))</x:f>
        <x:v>0.994</x:v>
      </x:c>
      <x:c r="N311" s="42" t="n">
        <x:f>IF(OR(H311="",I311="",M311=""),"",H311*I311*M311/100)</x:f>
        <x:v>532.784</x:v>
      </x:c>
      <x:c r="O311" s="36" t="str">
        <x:v>友愛街 3F梁版往上 鋼筋料單 114.08.28.XLS｜工作表 05｜原列 33｜右欄</x:v>
      </x:c>
    </x:row>
    <x:row r="312" ht="15" hidden="0" customHeight="1">
      <x:c r="A312" s="40" t="str">
        <x:v>05</x:v>
      </x:c>
      <x:c r="B312" s="40" t="str">
        <x:v>5F</x:v>
      </x:c>
      <x:c r="C312" s="40" t="str">
        <x:v>梁版</x:v>
      </x:c>
      <x:c r="D312" s="40" t="str">
        <x:v>上 層 版 筋</x:v>
      </x:c>
      <x:c r="E312" s="41" t="n">
        <x:v>34</x:v>
      </x:c>
      <x:c r="F312" s="40" t="str">
        <x:v>右欄</x:v>
      </x:c>
      <x:c r="G312" s="38" t="n">
        <x:v>4</x:v>
      </x:c>
      <x:c r="H312" s="37" t="n">
        <x:v>300</x:v>
      </x:c>
      <x:c r="I312" s="37" t="n">
        <x:v>27</x:v>
      </x:c>
      <x:c r="J312" s="37"/>
      <x:c r="K312" s="36" t="n">
        <x:v>280</x:v>
      </x:c>
      <x:c r="L312" s="37" t="n">
        <x:v>20</x:v>
      </x:c>
      <x:c r="M312" s="42" t="n">
        <x:f>IF(G312="","",INDEX('規格與範圍'!$B$14:$B$23,MATCH(G312,'規格與範圍'!$A$14:$A$23,0)))</x:f>
        <x:v>0.994</x:v>
      </x:c>
      <x:c r="N312" s="42" t="n">
        <x:f>IF(OR(H312="",I312="",M312=""),"",H312*I312*M312/100)</x:f>
        <x:v>80.514</x:v>
      </x:c>
      <x:c r="O312" s="36" t="str">
        <x:v>友愛街 3F梁版往上 鋼筋料單 114.08.28.XLS｜工作表 05｜原列 34｜右欄</x:v>
      </x:c>
    </x:row>
    <x:row r="313" ht="15" hidden="0" customHeight="1">
      <x:c r="A313" s="40" t="str">
        <x:v>05</x:v>
      </x:c>
      <x:c r="B313" s="40" t="str">
        <x:v>5F</x:v>
      </x:c>
      <x:c r="C313" s="40" t="str">
        <x:v>梁版</x:v>
      </x:c>
      <x:c r="D313" s="40" t="str">
        <x:v>上 層 版 筋</x:v>
      </x:c>
      <x:c r="E313" s="41" t="n">
        <x:v>35</x:v>
      </x:c>
      <x:c r="F313" s="40" t="str">
        <x:v>右欄</x:v>
      </x:c>
      <x:c r="G313" s="38" t="n">
        <x:v>4</x:v>
      </x:c>
      <x:c r="H313" s="37" t="n">
        <x:v>250</x:v>
      </x:c>
      <x:c r="I313" s="37" t="n">
        <x:v>12</x:v>
      </x:c>
      <x:c r="J313" s="37"/>
      <x:c r="K313" s="36" t="n">
        <x:v>230</x:v>
      </x:c>
      <x:c r="L313" s="37" t="n">
        <x:v>20</x:v>
      </x:c>
      <x:c r="M313" s="42" t="n">
        <x:f>IF(G313="","",INDEX('規格與範圍'!$B$14:$B$23,MATCH(G313,'規格與範圍'!$A$14:$A$23,0)))</x:f>
        <x:v>0.994</x:v>
      </x:c>
      <x:c r="N313" s="42" t="n">
        <x:f>IF(OR(H313="",I313="",M313=""),"",H313*I313*M313/100)</x:f>
        <x:v>29.82</x:v>
      </x:c>
      <x:c r="O313" s="36" t="str">
        <x:v>友愛街 3F梁版往上 鋼筋料單 114.08.28.XLS｜工作表 05｜原列 35｜右欄</x:v>
      </x:c>
    </x:row>
    <x:row r="314" ht="15" hidden="0" customHeight="1">
      <x:c r="A314" s="40" t="str">
        <x:v>05</x:v>
      </x:c>
      <x:c r="B314" s="40" t="str">
        <x:v>5F</x:v>
      </x:c>
      <x:c r="C314" s="40" t="str">
        <x:v>梁版</x:v>
      </x:c>
      <x:c r="D314" s="40" t="str">
        <x:v>上 層 版 筋</x:v>
      </x:c>
      <x:c r="E314" s="41" t="n">
        <x:v>36</x:v>
      </x:c>
      <x:c r="F314" s="40" t="str">
        <x:v>右欄</x:v>
      </x:c>
      <x:c r="G314" s="38" t="n">
        <x:v>4</x:v>
      </x:c>
      <x:c r="H314" s="37" t="n">
        <x:v>200</x:v>
      </x:c>
      <x:c r="I314" s="37" t="n">
        <x:v>47</x:v>
      </x:c>
      <x:c r="J314" s="37"/>
      <x:c r="K314" s="36" t="n">
        <x:v>180</x:v>
      </x:c>
      <x:c r="L314" s="37" t="n">
        <x:v>20</x:v>
      </x:c>
      <x:c r="M314" s="42" t="n">
        <x:f>IF(G314="","",INDEX('規格與範圍'!$B$14:$B$23,MATCH(G314,'規格與範圍'!$A$14:$A$23,0)))</x:f>
        <x:v>0.994</x:v>
      </x:c>
      <x:c r="N314" s="42" t="n">
        <x:f>IF(OR(H314="",I314="",M314=""),"",H314*I314*M314/100)</x:f>
        <x:v>93.436</x:v>
      </x:c>
      <x:c r="O314" s="36" t="str">
        <x:v>友愛街 3F梁版往上 鋼筋料單 114.08.28.XLS｜工作表 05｜原列 36｜右欄</x:v>
      </x:c>
    </x:row>
    <x:row r="315" ht="15" hidden="0" customHeight="1">
      <x:c r="A315" s="40" t="str">
        <x:v>05</x:v>
      </x:c>
      <x:c r="B315" s="40" t="str">
        <x:v>5F</x:v>
      </x:c>
      <x:c r="C315" s="40" t="str">
        <x:v>梁版</x:v>
      </x:c>
      <x:c r="D315" s="40" t="str">
        <x:v>上 層 版 筋</x:v>
      </x:c>
      <x:c r="E315" s="41" t="n">
        <x:v>37</x:v>
      </x:c>
      <x:c r="F315" s="40" t="str">
        <x:v>右欄</x:v>
      </x:c>
      <x:c r="G315" s="38" t="n">
        <x:v>4</x:v>
      </x:c>
      <x:c r="H315" s="37" t="n">
        <x:v>170</x:v>
      </x:c>
      <x:c r="I315" s="37" t="n">
        <x:v>8</x:v>
      </x:c>
      <x:c r="J315" s="37"/>
      <x:c r="K315" s="36" t="n">
        <x:v>150</x:v>
      </x:c>
      <x:c r="L315" s="37" t="n">
        <x:v>20</x:v>
      </x:c>
      <x:c r="M315" s="42" t="n">
        <x:f>IF(G315="","",INDEX('規格與範圍'!$B$14:$B$23,MATCH(G315,'規格與範圍'!$A$14:$A$23,0)))</x:f>
        <x:v>0.994</x:v>
      </x:c>
      <x:c r="N315" s="42" t="n">
        <x:f>IF(OR(H315="",I315="",M315=""),"",H315*I315*M315/100)</x:f>
        <x:v>13.5184</x:v>
      </x:c>
      <x:c r="O315" s="36" t="str">
        <x:v>友愛街 3F梁版往上 鋼筋料單 114.08.28.XLS｜工作表 05｜原列 37｜右欄</x:v>
      </x:c>
    </x:row>
    <x:row r="316" ht="15" hidden="0" customHeight="1">
      <x:c r="A316" s="40" t="str">
        <x:v>05</x:v>
      </x:c>
      <x:c r="B316" s="40" t="str">
        <x:v>5F</x:v>
      </x:c>
      <x:c r="C316" s="40" t="str">
        <x:v>梁版</x:v>
      </x:c>
      <x:c r="D316" s="40" t="str">
        <x:v>上 層 版 筋</x:v>
      </x:c>
      <x:c r="E316" s="41" t="n">
        <x:v>38</x:v>
      </x:c>
      <x:c r="F316" s="40" t="str">
        <x:v>右欄</x:v>
      </x:c>
      <x:c r="G316" s="38" t="n">
        <x:v>4</x:v>
      </x:c>
      <x:c r="H316" s="37" t="n">
        <x:v>140</x:v>
      </x:c>
      <x:c r="I316" s="37" t="n">
        <x:v>22</x:v>
      </x:c>
      <x:c r="J316" s="37"/>
      <x:c r="K316" s="36" t="n">
        <x:v>120</x:v>
      </x:c>
      <x:c r="L316" s="37" t="n">
        <x:v>20</x:v>
      </x:c>
      <x:c r="M316" s="42" t="n">
        <x:f>IF(G316="","",INDEX('規格與範圍'!$B$14:$B$23,MATCH(G316,'規格與範圍'!$A$14:$A$23,0)))</x:f>
        <x:v>0.994</x:v>
      </x:c>
      <x:c r="N316" s="42" t="n">
        <x:f>IF(OR(H316="",I316="",M316=""),"",H316*I316*M316/100)</x:f>
        <x:v>30.6152</x:v>
      </x:c>
      <x:c r="O316" s="36" t="str">
        <x:v>友愛街 3F梁版往上 鋼筋料單 114.08.28.XLS｜工作表 05｜原列 38｜右欄</x:v>
      </x:c>
    </x:row>
    <x:row r="317" ht="15" hidden="0" customHeight="1">
      <x:c r="A317" s="40" t="str">
        <x:v>05</x:v>
      </x:c>
      <x:c r="B317" s="40" t="str">
        <x:v>5F</x:v>
      </x:c>
      <x:c r="C317" s="40" t="str">
        <x:v>梁版</x:v>
      </x:c>
      <x:c r="D317" s="40" t="str">
        <x:v>上 層 版 筋</x:v>
      </x:c>
      <x:c r="E317" s="41" t="n">
        <x:v>39</x:v>
      </x:c>
      <x:c r="F317" s="40" t="str">
        <x:v>右欄</x:v>
      </x:c>
      <x:c r="G317" s="38" t="n">
        <x:v>4</x:v>
      </x:c>
      <x:c r="H317" s="37" t="n">
        <x:v>500</x:v>
      </x:c>
      <x:c r="I317" s="37" t="n">
        <x:v>48</x:v>
      </x:c>
      <x:c r="J317" s="37"/>
      <x:c r="K317" s="36" t="n">
        <x:v>500</x:v>
      </x:c>
      <x:c r="L317" s="37"/>
      <x:c r="M317" s="42" t="n">
        <x:f>IF(G317="","",INDEX('規格與範圍'!$B$14:$B$23,MATCH(G317,'規格與範圍'!$A$14:$A$23,0)))</x:f>
        <x:v>0.994</x:v>
      </x:c>
      <x:c r="N317" s="42" t="n">
        <x:f>IF(OR(H317="",I317="",M317=""),"",H317*I317*M317/100)</x:f>
        <x:v>238.56</x:v>
      </x:c>
      <x:c r="O317" s="36" t="str">
        <x:v>友愛街 3F梁版往上 鋼筋料單 114.08.28.XLS｜工作表 05｜原列 39｜右欄</x:v>
      </x:c>
    </x:row>
    <x:row r="318" ht="15" hidden="0" customHeight="1">
      <x:c r="A318" s="40" t="str">
        <x:v>05</x:v>
      </x:c>
      <x:c r="B318" s="40" t="str">
        <x:v>5F</x:v>
      </x:c>
      <x:c r="C318" s="40" t="str">
        <x:v>梁版</x:v>
      </x:c>
      <x:c r="D318" s="40" t="str">
        <x:v>上 層 版 筋</x:v>
      </x:c>
      <x:c r="E318" s="41" t="n">
        <x:v>40</x:v>
      </x:c>
      <x:c r="F318" s="40" t="str">
        <x:v>右欄</x:v>
      </x:c>
      <x:c r="G318" s="38" t="n">
        <x:v>4</x:v>
      </x:c>
      <x:c r="H318" s="37" t="n">
        <x:v>250</x:v>
      </x:c>
      <x:c r="I318" s="37" t="n">
        <x:v>24</x:v>
      </x:c>
      <x:c r="J318" s="37"/>
      <x:c r="K318" s="36" t="n">
        <x:v>250</x:v>
      </x:c>
      <x:c r="L318" s="37"/>
      <x:c r="M318" s="42" t="n">
        <x:f>IF(G318="","",INDEX('規格與範圍'!$B$14:$B$23,MATCH(G318,'規格與範圍'!$A$14:$A$23,0)))</x:f>
        <x:v>0.994</x:v>
      </x:c>
      <x:c r="N318" s="42" t="n">
        <x:f>IF(OR(H318="",I318="",M318=""),"",H318*I318*M318/100)</x:f>
        <x:v>59.64</x:v>
      </x:c>
      <x:c r="O318" s="36" t="str">
        <x:v>友愛街 3F梁版往上 鋼筋料單 114.08.28.XLS｜工作表 05｜原列 40｜右欄</x:v>
      </x:c>
    </x:row>
    <x:row r="319" ht="15" hidden="0" customHeight="1">
      <x:c r="A319" s="40" t="str">
        <x:v>05</x:v>
      </x:c>
      <x:c r="B319" s="40" t="str">
        <x:v>5F</x:v>
      </x:c>
      <x:c r="C319" s="40" t="str">
        <x:v>梁版</x:v>
      </x:c>
      <x:c r="D319" s="40" t="str">
        <x:v>上 層 版 筋</x:v>
      </x:c>
      <x:c r="E319" s="41" t="n">
        <x:v>41</x:v>
      </x:c>
      <x:c r="F319" s="40" t="str">
        <x:v>右欄</x:v>
      </x:c>
      <x:c r="G319" s="38" t="n">
        <x:v>4</x:v>
      </x:c>
      <x:c r="H319" s="37" t="n">
        <x:v>150</x:v>
      </x:c>
      <x:c r="I319" s="37" t="n">
        <x:v>40</x:v>
      </x:c>
      <x:c r="J319" s="37"/>
      <x:c r="K319" s="36" t="n">
        <x:v>150</x:v>
      </x:c>
      <x:c r="L319" s="37"/>
      <x:c r="M319" s="42" t="n">
        <x:f>IF(G319="","",INDEX('規格與範圍'!$B$14:$B$23,MATCH(G319,'規格與範圍'!$A$14:$A$23,0)))</x:f>
        <x:v>0.994</x:v>
      </x:c>
      <x:c r="N319" s="42" t="n">
        <x:f>IF(OR(H319="",I319="",M319=""),"",H319*I319*M319/100)</x:f>
        <x:v>59.64</x:v>
      </x:c>
      <x:c r="O319" s="36" t="str">
        <x:v>友愛街 3F梁版往上 鋼筋料單 114.08.28.XLS｜工作表 05｜原列 41｜右欄</x:v>
      </x:c>
    </x:row>
    <x:row r="320" ht="15" hidden="0" customHeight="1">
      <x:c r="A320" s="40" t="str">
        <x:v>05</x:v>
      </x:c>
      <x:c r="B320" s="40" t="str">
        <x:v>5F</x:v>
      </x:c>
      <x:c r="C320" s="40" t="str">
        <x:v>梁版</x:v>
      </x:c>
      <x:c r="D320" s="40" t="str">
        <x:v>上 層 版 筋</x:v>
      </x:c>
      <x:c r="E320" s="41" t="n">
        <x:v>43</x:v>
      </x:c>
      <x:c r="F320" s="40" t="str">
        <x:v>右欄</x:v>
      </x:c>
      <x:c r="G320" s="38" t="n">
        <x:v>3</x:v>
      </x:c>
      <x:c r="H320" s="37" t="n">
        <x:v>700</x:v>
      </x:c>
      <x:c r="I320" s="37" t="n">
        <x:v>22</x:v>
      </x:c>
      <x:c r="J320" s="37"/>
      <x:c r="K320" s="36" t="n">
        <x:v>685</x:v>
      </x:c>
      <x:c r="L320" s="37" t="n">
        <x:v>15</x:v>
      </x:c>
      <x:c r="M320" s="42" t="n">
        <x:f>IF(G320="","",INDEX('規格與範圍'!$B$14:$B$23,MATCH(G320,'規格與範圍'!$A$14:$A$23,0)))</x:f>
        <x:v>0.559</x:v>
      </x:c>
      <x:c r="N320" s="42" t="n">
        <x:f>IF(OR(H320="",I320="",M320=""),"",H320*I320*M320/100)</x:f>
        <x:v>86.086</x:v>
      </x:c>
      <x:c r="O320" s="36" t="str">
        <x:v>友愛街 3F梁版往上 鋼筋料單 114.08.28.XLS｜工作表 05｜原列 43｜右欄</x:v>
      </x:c>
    </x:row>
    <x:row r="321" ht="15" hidden="0" customHeight="1">
      <x:c r="A321" s="40" t="str">
        <x:v>05</x:v>
      </x:c>
      <x:c r="B321" s="40" t="str">
        <x:v>5F</x:v>
      </x:c>
      <x:c r="C321" s="40" t="str">
        <x:v>梁版</x:v>
      </x:c>
      <x:c r="D321" s="40" t="str">
        <x:v>上 層 版 筋</x:v>
      </x:c>
      <x:c r="E321" s="41" t="n">
        <x:v>44</x:v>
      </x:c>
      <x:c r="F321" s="40" t="str">
        <x:v>右欄</x:v>
      </x:c>
      <x:c r="G321" s="38" t="n">
        <x:v>3</x:v>
      </x:c>
      <x:c r="H321" s="37" t="n">
        <x:v>500</x:v>
      </x:c>
      <x:c r="I321" s="37" t="n">
        <x:v>32</x:v>
      </x:c>
      <x:c r="J321" s="37"/>
      <x:c r="K321" s="36" t="n">
        <x:v>485</x:v>
      </x:c>
      <x:c r="L321" s="37" t="n">
        <x:v>15</x:v>
      </x:c>
      <x:c r="M321" s="42" t="n">
        <x:f>IF(G321="","",INDEX('規格與範圍'!$B$14:$B$23,MATCH(G321,'規格與範圍'!$A$14:$A$23,0)))</x:f>
        <x:v>0.559</x:v>
      </x:c>
      <x:c r="N321" s="42" t="n">
        <x:f>IF(OR(H321="",I321="",M321=""),"",H321*I321*M321/100)</x:f>
        <x:v>89.44</x:v>
      </x:c>
      <x:c r="O321" s="36" t="str">
        <x:v>友愛街 3F梁版往上 鋼筋料單 114.08.28.XLS｜工作表 05｜原列 44｜右欄</x:v>
      </x:c>
    </x:row>
    <x:row r="322" ht="15" hidden="0" customHeight="1">
      <x:c r="A322" s="40" t="str">
        <x:v>05</x:v>
      </x:c>
      <x:c r="B322" s="40" t="str">
        <x:v>5F</x:v>
      </x:c>
      <x:c r="C322" s="40" t="str">
        <x:v>梁版</x:v>
      </x:c>
      <x:c r="D322" s="40" t="str">
        <x:v>上 層 版 筋</x:v>
      </x:c>
      <x:c r="E322" s="41" t="n">
        <x:v>45</x:v>
      </x:c>
      <x:c r="F322" s="40" t="str">
        <x:v>右欄</x:v>
      </x:c>
      <x:c r="G322" s="38" t="n">
        <x:v>3</x:v>
      </x:c>
      <x:c r="H322" s="37" t="n">
        <x:v>400</x:v>
      </x:c>
      <x:c r="I322" s="37" t="n">
        <x:v>111</x:v>
      </x:c>
      <x:c r="J322" s="37"/>
      <x:c r="K322" s="36" t="n">
        <x:v>385</x:v>
      </x:c>
      <x:c r="L322" s="37" t="n">
        <x:v>15</x:v>
      </x:c>
      <x:c r="M322" s="42" t="n">
        <x:f>IF(G322="","",INDEX('規格與範圍'!$B$14:$B$23,MATCH(G322,'規格與範圍'!$A$14:$A$23,0)))</x:f>
        <x:v>0.559</x:v>
      </x:c>
      <x:c r="N322" s="42" t="n">
        <x:f>IF(OR(H322="",I322="",M322=""),"",H322*I322*M322/100)</x:f>
        <x:v>248.19600000000003</x:v>
      </x:c>
      <x:c r="O322" s="36" t="str">
        <x:v>友愛街 3F梁版往上 鋼筋料單 114.08.28.XLS｜工作表 05｜原列 45｜右欄</x:v>
      </x:c>
    </x:row>
    <x:row r="323" ht="15" hidden="0" customHeight="1">
      <x:c r="A323" s="40" t="str">
        <x:v>05</x:v>
      </x:c>
      <x:c r="B323" s="40" t="str">
        <x:v>5F</x:v>
      </x:c>
      <x:c r="C323" s="40" t="str">
        <x:v>梁版</x:v>
      </x:c>
      <x:c r="D323" s="40" t="str">
        <x:v>上 層 版 筋</x:v>
      </x:c>
      <x:c r="E323" s="41" t="n">
        <x:v>46</x:v>
      </x:c>
      <x:c r="F323" s="40" t="str">
        <x:v>右欄</x:v>
      </x:c>
      <x:c r="G323" s="38" t="n">
        <x:v>3</x:v>
      </x:c>
      <x:c r="H323" s="37" t="n">
        <x:v>350</x:v>
      </x:c>
      <x:c r="I323" s="37" t="n">
        <x:v>17</x:v>
      </x:c>
      <x:c r="J323" s="37"/>
      <x:c r="K323" s="36" t="n">
        <x:v>335</x:v>
      </x:c>
      <x:c r="L323" s="37" t="n">
        <x:v>15</x:v>
      </x:c>
      <x:c r="M323" s="42" t="n">
        <x:f>IF(G323="","",INDEX('規格與範圍'!$B$14:$B$23,MATCH(G323,'規格與範圍'!$A$14:$A$23,0)))</x:f>
        <x:v>0.559</x:v>
      </x:c>
      <x:c r="N323" s="42" t="n">
        <x:f>IF(OR(H323="",I323="",M323=""),"",H323*I323*M323/100)</x:f>
        <x:v>33.2605</x:v>
      </x:c>
      <x:c r="O323" s="36" t="str">
        <x:v>友愛街 3F梁版往上 鋼筋料單 114.08.28.XLS｜工作表 05｜原列 46｜右欄</x:v>
      </x:c>
    </x:row>
    <x:row r="324" ht="15" hidden="0" customHeight="1">
      <x:c r="A324" s="40" t="str">
        <x:v>05</x:v>
      </x:c>
      <x:c r="B324" s="40" t="str">
        <x:v>5F</x:v>
      </x:c>
      <x:c r="C324" s="40" t="str">
        <x:v>梁版</x:v>
      </x:c>
      <x:c r="D324" s="40" t="str">
        <x:v>上 層 版 筋</x:v>
      </x:c>
      <x:c r="E324" s="41" t="n">
        <x:v>47</x:v>
      </x:c>
      <x:c r="F324" s="40" t="str">
        <x:v>右欄</x:v>
      </x:c>
      <x:c r="G324" s="38" t="n">
        <x:v>3</x:v>
      </x:c>
      <x:c r="H324" s="37" t="n">
        <x:v>315</x:v>
      </x:c>
      <x:c r="I324" s="37" t="n">
        <x:v>28</x:v>
      </x:c>
      <x:c r="J324" s="37"/>
      <x:c r="K324" s="36" t="n">
        <x:v>300</x:v>
      </x:c>
      <x:c r="L324" s="37" t="n">
        <x:v>15</x:v>
      </x:c>
      <x:c r="M324" s="42" t="n">
        <x:f>IF(G324="","",INDEX('規格與範圍'!$B$14:$B$23,MATCH(G324,'規格與範圍'!$A$14:$A$23,0)))</x:f>
        <x:v>0.559</x:v>
      </x:c>
      <x:c r="N324" s="42" t="n">
        <x:f>IF(OR(H324="",I324="",M324=""),"",H324*I324*M324/100)</x:f>
        <x:v>49.3038</x:v>
      </x:c>
      <x:c r="O324" s="36" t="str">
        <x:v>友愛街 3F梁版往上 鋼筋料單 114.08.28.XLS｜工作表 05｜原列 47｜右欄</x:v>
      </x:c>
    </x:row>
    <x:row r="325" ht="15" hidden="0" customHeight="1">
      <x:c r="A325" s="40" t="str">
        <x:v>05</x:v>
      </x:c>
      <x:c r="B325" s="40" t="str">
        <x:v>5F</x:v>
      </x:c>
      <x:c r="C325" s="40" t="str">
        <x:v>梁版</x:v>
      </x:c>
      <x:c r="D325" s="40" t="str">
        <x:v>上 層 版 筋</x:v>
      </x:c>
      <x:c r="E325" s="41" t="n">
        <x:v>48</x:v>
      </x:c>
      <x:c r="F325" s="40" t="str">
        <x:v>右欄</x:v>
      </x:c>
      <x:c r="G325" s="38" t="n">
        <x:v>3</x:v>
      </x:c>
      <x:c r="H325" s="37" t="n">
        <x:v>300</x:v>
      </x:c>
      <x:c r="I325" s="37" t="n">
        <x:v>6</x:v>
      </x:c>
      <x:c r="J325" s="37"/>
      <x:c r="K325" s="36" t="n">
        <x:v>285</x:v>
      </x:c>
      <x:c r="L325" s="37" t="n">
        <x:v>15</x:v>
      </x:c>
      <x:c r="M325" s="42" t="n">
        <x:f>IF(G325="","",INDEX('規格與範圍'!$B$14:$B$23,MATCH(G325,'規格與範圍'!$A$14:$A$23,0)))</x:f>
        <x:v>0.559</x:v>
      </x:c>
      <x:c r="N325" s="42" t="n">
        <x:f>IF(OR(H325="",I325="",M325=""),"",H325*I325*M325/100)</x:f>
        <x:v>10.062000000000001</x:v>
      </x:c>
      <x:c r="O325" s="36" t="str">
        <x:v>友愛街 3F梁版往上 鋼筋料單 114.08.28.XLS｜工作表 05｜原列 48｜右欄</x:v>
      </x:c>
    </x:row>
    <x:row r="326" ht="15" hidden="0" customHeight="1">
      <x:c r="A326" s="40" t="str">
        <x:v>05</x:v>
      </x:c>
      <x:c r="B326" s="40" t="str">
        <x:v>5F</x:v>
      </x:c>
      <x:c r="C326" s="40" t="str">
        <x:v>梁版</x:v>
      </x:c>
      <x:c r="D326" s="40" t="str">
        <x:v>上 層 版 筋</x:v>
      </x:c>
      <x:c r="E326" s="41" t="n">
        <x:v>49</x:v>
      </x:c>
      <x:c r="F326" s="40" t="str">
        <x:v>右欄</x:v>
      </x:c>
      <x:c r="G326" s="38" t="n">
        <x:v>3</x:v>
      </x:c>
      <x:c r="H326" s="37" t="n">
        <x:v>250</x:v>
      </x:c>
      <x:c r="I326" s="37" t="n">
        <x:v>7</x:v>
      </x:c>
      <x:c r="J326" s="37"/>
      <x:c r="K326" s="36" t="n">
        <x:v>235</x:v>
      </x:c>
      <x:c r="L326" s="37" t="n">
        <x:v>15</x:v>
      </x:c>
      <x:c r="M326" s="42" t="n">
        <x:f>IF(G326="","",INDEX('規格與範圍'!$B$14:$B$23,MATCH(G326,'規格與範圍'!$A$14:$A$23,0)))</x:f>
        <x:v>0.559</x:v>
      </x:c>
      <x:c r="N326" s="42" t="n">
        <x:f>IF(OR(H326="",I326="",M326=""),"",H326*I326*M326/100)</x:f>
        <x:v>9.7825</x:v>
      </x:c>
      <x:c r="O326" s="36" t="str">
        <x:v>友愛街 3F梁版往上 鋼筋料單 114.08.28.XLS｜工作表 05｜原列 49｜右欄</x:v>
      </x:c>
    </x:row>
    <x:row r="327" ht="15" hidden="0" customHeight="1">
      <x:c r="A327" s="40" t="str">
        <x:v>05</x:v>
      </x:c>
      <x:c r="B327" s="40" t="str">
        <x:v>5F</x:v>
      </x:c>
      <x:c r="C327" s="40" t="str">
        <x:v>梁版</x:v>
      </x:c>
      <x:c r="D327" s="40" t="str">
        <x:v>上 層 版 筋</x:v>
      </x:c>
      <x:c r="E327" s="41" t="n">
        <x:v>50</x:v>
      </x:c>
      <x:c r="F327" s="40" t="str">
        <x:v>右欄</x:v>
      </x:c>
      <x:c r="G327" s="38" t="n">
        <x:v>3</x:v>
      </x:c>
      <x:c r="H327" s="37" t="n">
        <x:v>215</x:v>
      </x:c>
      <x:c r="I327" s="37" t="n">
        <x:v>37</x:v>
      </x:c>
      <x:c r="J327" s="37"/>
      <x:c r="K327" s="36" t="n">
        <x:v>200</x:v>
      </x:c>
      <x:c r="L327" s="37" t="n">
        <x:v>15</x:v>
      </x:c>
      <x:c r="M327" s="42" t="n">
        <x:f>IF(G327="","",INDEX('規格與範圍'!$B$14:$B$23,MATCH(G327,'規格與範圍'!$A$14:$A$23,0)))</x:f>
        <x:v>0.559</x:v>
      </x:c>
      <x:c r="N327" s="42" t="n">
        <x:f>IF(OR(H327="",I327="",M327=""),"",H327*I327*M327/100)</x:f>
        <x:v>44.468450000000004</x:v>
      </x:c>
      <x:c r="O327" s="36" t="str">
        <x:v>友愛街 3F梁版往上 鋼筋料單 114.08.28.XLS｜工作表 05｜原列 50｜右欄</x:v>
      </x:c>
    </x:row>
    <x:row r="328" ht="15" hidden="0" customHeight="1">
      <x:c r="A328" s="40" t="str">
        <x:v>05</x:v>
      </x:c>
      <x:c r="B328" s="40" t="str">
        <x:v>5F</x:v>
      </x:c>
      <x:c r="C328" s="40" t="str">
        <x:v>梁版</x:v>
      </x:c>
      <x:c r="D328" s="40" t="str">
        <x:v>上 層 版 筋</x:v>
      </x:c>
      <x:c r="E328" s="41" t="n">
        <x:v>51</x:v>
      </x:c>
      <x:c r="F328" s="40" t="str">
        <x:v>右欄</x:v>
      </x:c>
      <x:c r="G328" s="38" t="n">
        <x:v>3</x:v>
      </x:c>
      <x:c r="H328" s="37" t="n">
        <x:v>200</x:v>
      </x:c>
      <x:c r="I328" s="37" t="n">
        <x:v>14</x:v>
      </x:c>
      <x:c r="J328" s="37"/>
      <x:c r="K328" s="36" t="n">
        <x:v>185</x:v>
      </x:c>
      <x:c r="L328" s="37" t="n">
        <x:v>15</x:v>
      </x:c>
      <x:c r="M328" s="42" t="n">
        <x:f>IF(G328="","",INDEX('規格與範圍'!$B$14:$B$23,MATCH(G328,'規格與範圍'!$A$14:$A$23,0)))</x:f>
        <x:v>0.559</x:v>
      </x:c>
      <x:c r="N328" s="42" t="n">
        <x:f>IF(OR(H328="",I328="",M328=""),"",H328*I328*M328/100)</x:f>
        <x:v>15.652000000000001</x:v>
      </x:c>
      <x:c r="O328" s="36" t="str">
        <x:v>友愛街 3F梁版往上 鋼筋料單 114.08.28.XLS｜工作表 05｜原列 51｜右欄</x:v>
      </x:c>
    </x:row>
    <x:row r="329" ht="15" hidden="0" customHeight="1">
      <x:c r="A329" s="40" t="str">
        <x:v>05</x:v>
      </x:c>
      <x:c r="B329" s="40" t="str">
        <x:v>5F</x:v>
      </x:c>
      <x:c r="C329" s="40" t="str">
        <x:v>梁版</x:v>
      </x:c>
      <x:c r="D329" s="40" t="str">
        <x:v>上 層 版 筋</x:v>
      </x:c>
      <x:c r="E329" s="41" t="n">
        <x:v>52</x:v>
      </x:c>
      <x:c r="F329" s="40" t="str">
        <x:v>右欄</x:v>
      </x:c>
      <x:c r="G329" s="38" t="n">
        <x:v>3</x:v>
      </x:c>
      <x:c r="H329" s="37" t="n">
        <x:v>165</x:v>
      </x:c>
      <x:c r="I329" s="37" t="n">
        <x:v>37</x:v>
      </x:c>
      <x:c r="J329" s="37"/>
      <x:c r="K329" s="36" t="n">
        <x:v>150</x:v>
      </x:c>
      <x:c r="L329" s="37" t="n">
        <x:v>15</x:v>
      </x:c>
      <x:c r="M329" s="42" t="n">
        <x:f>IF(G329="","",INDEX('規格與範圍'!$B$14:$B$23,MATCH(G329,'規格與範圍'!$A$14:$A$23,0)))</x:f>
        <x:v>0.559</x:v>
      </x:c>
      <x:c r="N329" s="42" t="n">
        <x:f>IF(OR(H329="",I329="",M329=""),"",H329*I329*M329/100)</x:f>
        <x:v>34.12695</x:v>
      </x:c>
      <x:c r="O329" s="36" t="str">
        <x:v>友愛街 3F梁版往上 鋼筋料單 114.08.28.XLS｜工作表 05｜原列 52｜右欄</x:v>
      </x:c>
    </x:row>
    <x:row r="330" ht="15" hidden="0" customHeight="1">
      <x:c r="A330" s="40" t="str">
        <x:v>05</x:v>
      </x:c>
      <x:c r="B330" s="40" t="str">
        <x:v>5F</x:v>
      </x:c>
      <x:c r="C330" s="40" t="str">
        <x:v>梁版</x:v>
      </x:c>
      <x:c r="D330" s="40" t="str">
        <x:v>上 層 版 筋</x:v>
      </x:c>
      <x:c r="E330" s="41" t="n">
        <x:v>53</x:v>
      </x:c>
      <x:c r="F330" s="40" t="str">
        <x:v>右欄</x:v>
      </x:c>
      <x:c r="G330" s="38" t="n">
        <x:v>3</x:v>
      </x:c>
      <x:c r="H330" s="37" t="n">
        <x:v>115</x:v>
      </x:c>
      <x:c r="I330" s="37" t="n">
        <x:v>22</x:v>
      </x:c>
      <x:c r="J330" s="37"/>
      <x:c r="K330" s="36" t="n">
        <x:v>100</x:v>
      </x:c>
      <x:c r="L330" s="37" t="n">
        <x:v>15</x:v>
      </x:c>
      <x:c r="M330" s="42" t="n">
        <x:f>IF(G330="","",INDEX('規格與範圍'!$B$14:$B$23,MATCH(G330,'規格與範圍'!$A$14:$A$23,0)))</x:f>
        <x:v>0.559</x:v>
      </x:c>
      <x:c r="N330" s="42" t="n">
        <x:f>IF(OR(H330="",I330="",M330=""),"",H330*I330*M330/100)</x:f>
        <x:v>14.142700000000001</x:v>
      </x:c>
      <x:c r="O330" s="36" t="str">
        <x:v>友愛街 3F梁版往上 鋼筋料單 114.08.28.XLS｜工作表 05｜原列 53｜右欄</x:v>
      </x:c>
    </x:row>
    <x:row r="331" ht="15" hidden="0" customHeight="1">
      <x:c r="A331" s="40" t="str">
        <x:v>05</x:v>
      </x:c>
      <x:c r="B331" s="40" t="str">
        <x:v>5F</x:v>
      </x:c>
      <x:c r="C331" s="40" t="str">
        <x:v>梁版</x:v>
      </x:c>
      <x:c r="D331" s="40" t="str">
        <x:v>上 層 版 筋</x:v>
      </x:c>
      <x:c r="E331" s="41" t="n">
        <x:v>54</x:v>
      </x:c>
      <x:c r="F331" s="40" t="str">
        <x:v>右欄</x:v>
      </x:c>
      <x:c r="G331" s="38" t="n">
        <x:v>3</x:v>
      </x:c>
      <x:c r="H331" s="37" t="n">
        <x:v>75</x:v>
      </x:c>
      <x:c r="I331" s="37" t="n">
        <x:v>15</x:v>
      </x:c>
      <x:c r="J331" s="37"/>
      <x:c r="K331" s="36" t="n">
        <x:v>60</x:v>
      </x:c>
      <x:c r="L331" s="37" t="n">
        <x:v>15</x:v>
      </x:c>
      <x:c r="M331" s="42" t="n">
        <x:f>IF(G331="","",INDEX('規格與範圍'!$B$14:$B$23,MATCH(G331,'規格與範圍'!$A$14:$A$23,0)))</x:f>
        <x:v>0.559</x:v>
      </x:c>
      <x:c r="N331" s="42" t="n">
        <x:f>IF(OR(H331="",I331="",M331=""),"",H331*I331*M331/100)</x:f>
        <x:v>6.288750000000001</x:v>
      </x:c>
      <x:c r="O331" s="36" t="str">
        <x:v>友愛街 3F梁版往上 鋼筋料單 114.08.28.XLS｜工作表 05｜原列 54｜右欄</x:v>
      </x:c>
    </x:row>
    <x:row r="332" ht="15" hidden="0" customHeight="1">
      <x:c r="A332" s="40" t="str">
        <x:v>05</x:v>
      </x:c>
      <x:c r="B332" s="40" t="str">
        <x:v>5F</x:v>
      </x:c>
      <x:c r="C332" s="40" t="str">
        <x:v>梁版</x:v>
      </x:c>
      <x:c r="D332" s="40" t="str">
        <x:v>上 層 版 筋</x:v>
      </x:c>
      <x:c r="E332" s="41" t="n">
        <x:v>55</x:v>
      </x:c>
      <x:c r="F332" s="40" t="str">
        <x:v>右欄</x:v>
      </x:c>
      <x:c r="G332" s="38" t="n">
        <x:v>3</x:v>
      </x:c>
      <x:c r="H332" s="37" t="n">
        <x:v>700</x:v>
      </x:c>
      <x:c r="I332" s="37" t="n">
        <x:v>22</x:v>
      </x:c>
      <x:c r="J332" s="37"/>
      <x:c r="K332" s="36" t="n">
        <x:v>700</x:v>
      </x:c>
      <x:c r="L332" s="37"/>
      <x:c r="M332" s="42" t="n">
        <x:f>IF(G332="","",INDEX('規格與範圍'!$B$14:$B$23,MATCH(G332,'規格與範圍'!$A$14:$A$23,0)))</x:f>
        <x:v>0.559</x:v>
      </x:c>
      <x:c r="N332" s="42" t="n">
        <x:f>IF(OR(H332="",I332="",M332=""),"",H332*I332*M332/100)</x:f>
        <x:v>86.086</x:v>
      </x:c>
      <x:c r="O332" s="36" t="str">
        <x:v>友愛街 3F梁版往上 鋼筋料單 114.08.28.XLS｜工作表 05｜原列 55｜右欄</x:v>
      </x:c>
    </x:row>
    <x:row r="333" ht="15" hidden="0" customHeight="1">
      <x:c r="A333" s="40" t="str">
        <x:v>05</x:v>
      </x:c>
      <x:c r="B333" s="40" t="str">
        <x:v>5F</x:v>
      </x:c>
      <x:c r="C333" s="40" t="str">
        <x:v>梁版</x:v>
      </x:c>
      <x:c r="D333" s="40" t="str">
        <x:v>上 層 版 筋</x:v>
      </x:c>
      <x:c r="E333" s="41" t="n">
        <x:v>56</x:v>
      </x:c>
      <x:c r="F333" s="40" t="str">
        <x:v>右欄</x:v>
      </x:c>
      <x:c r="G333" s="38" t="n">
        <x:v>3</x:v>
      </x:c>
      <x:c r="H333" s="37" t="n">
        <x:v>470</x:v>
      </x:c>
      <x:c r="I333" s="37" t="n">
        <x:v>13</x:v>
      </x:c>
      <x:c r="J333" s="37"/>
      <x:c r="K333" s="36" t="n">
        <x:v>470</x:v>
      </x:c>
      <x:c r="L333" s="37"/>
      <x:c r="M333" s="42" t="n">
        <x:f>IF(G333="","",INDEX('規格與範圍'!$B$14:$B$23,MATCH(G333,'規格與範圍'!$A$14:$A$23,0)))</x:f>
        <x:v>0.559</x:v>
      </x:c>
      <x:c r="N333" s="42" t="n">
        <x:f>IF(OR(H333="",I333="",M333=""),"",H333*I333*M333/100)</x:f>
        <x:v>34.154900000000005</x:v>
      </x:c>
      <x:c r="O333" s="36" t="str">
        <x:v>友愛街 3F梁版往上 鋼筋料單 114.08.28.XLS｜工作表 05｜原列 56｜右欄</x:v>
      </x:c>
    </x:row>
    <x:row r="334" ht="15" hidden="0" customHeight="1">
      <x:c r="A334" s="40" t="str">
        <x:v>05</x:v>
      </x:c>
      <x:c r="B334" s="40" t="str">
        <x:v>5F</x:v>
      </x:c>
      <x:c r="C334" s="40" t="str">
        <x:v>梁版</x:v>
      </x:c>
      <x:c r="D334" s="40" t="str">
        <x:v>上 層 版 筋</x:v>
      </x:c>
      <x:c r="E334" s="41" t="n">
        <x:v>57</x:v>
      </x:c>
      <x:c r="F334" s="40" t="str">
        <x:v>右欄</x:v>
      </x:c>
      <x:c r="G334" s="38" t="n">
        <x:v>3</x:v>
      </x:c>
      <x:c r="H334" s="37" t="n">
        <x:v>300</x:v>
      </x:c>
      <x:c r="I334" s="37" t="n">
        <x:v>3</x:v>
      </x:c>
      <x:c r="J334" s="37"/>
      <x:c r="K334" s="36" t="n">
        <x:v>300</x:v>
      </x:c>
      <x:c r="L334" s="37"/>
      <x:c r="M334" s="42" t="n">
        <x:f>IF(G334="","",INDEX('規格與範圍'!$B$14:$B$23,MATCH(G334,'規格與範圍'!$A$14:$A$23,0)))</x:f>
        <x:v>0.559</x:v>
      </x:c>
      <x:c r="N334" s="42" t="n">
        <x:f>IF(OR(H334="",I334="",M334=""),"",H334*I334*M334/100)</x:f>
        <x:v>5.031000000000001</x:v>
      </x:c>
      <x:c r="O334" s="36" t="str">
        <x:v>友愛街 3F梁版往上 鋼筋料單 114.08.28.XLS｜工作表 05｜原列 57｜右欄</x:v>
      </x:c>
    </x:row>
    <x:row r="335" ht="15" hidden="0" customHeight="1">
      <x:c r="A335" s="40" t="str">
        <x:v>05</x:v>
      </x:c>
      <x:c r="B335" s="40" t="str">
        <x:v>5F</x:v>
      </x:c>
      <x:c r="C335" s="40" t="str">
        <x:v>梁版</x:v>
      </x:c>
      <x:c r="D335" s="40" t="str">
        <x:v>上 層 版 筋</x:v>
      </x:c>
      <x:c r="E335" s="41" t="n">
        <x:v>58</x:v>
      </x:c>
      <x:c r="F335" s="40" t="str">
        <x:v>右欄</x:v>
      </x:c>
      <x:c r="G335" s="38" t="n">
        <x:v>3</x:v>
      </x:c>
      <x:c r="H335" s="37" t="n">
        <x:v>200</x:v>
      </x:c>
      <x:c r="I335" s="37" t="n">
        <x:v>57</x:v>
      </x:c>
      <x:c r="J335" s="37"/>
      <x:c r="K335" s="36" t="n">
        <x:v>200</x:v>
      </x:c>
      <x:c r="L335" s="37"/>
      <x:c r="M335" s="42" t="n">
        <x:f>IF(G335="","",INDEX('規格與範圍'!$B$14:$B$23,MATCH(G335,'規格與範圍'!$A$14:$A$23,0)))</x:f>
        <x:v>0.559</x:v>
      </x:c>
      <x:c r="N335" s="42" t="n">
        <x:f>IF(OR(H335="",I335="",M335=""),"",H335*I335*M335/100)</x:f>
        <x:v>63.726000000000006</x:v>
      </x:c>
      <x:c r="O335" s="36" t="str">
        <x:v>友愛街 3F梁版往上 鋼筋料單 114.08.28.XLS｜工作表 05｜原列 58｜右欄</x:v>
      </x:c>
    </x:row>
    <x:row r="336" ht="15" hidden="0" customHeight="1">
      <x:c r="A336" s="40" t="str">
        <x:v>05</x:v>
      </x:c>
      <x:c r="B336" s="40" t="str">
        <x:v>5F</x:v>
      </x:c>
      <x:c r="C336" s="40" t="str">
        <x:v>梁版</x:v>
      </x:c>
      <x:c r="D336" s="40" t="str">
        <x:v>樓 梯</x:v>
      </x:c>
      <x:c r="E336" s="41" t="n">
        <x:v>61</x:v>
      </x:c>
      <x:c r="F336" s="40" t="str">
        <x:v>右欄</x:v>
      </x:c>
      <x:c r="G336" s="38" t="n">
        <x:v>4</x:v>
      </x:c>
      <x:c r="H336" s="37" t="n">
        <x:v>450</x:v>
      </x:c>
      <x:c r="I336" s="37" t="n">
        <x:v>44</x:v>
      </x:c>
      <x:c r="J336" s="37"/>
      <x:c r="K336" s="36" t="n">
        <x:v>430</x:v>
      </x:c>
      <x:c r="L336" s="37" t="n">
        <x:v>20</x:v>
      </x:c>
      <x:c r="M336" s="42" t="n">
        <x:f>IF(G336="","",INDEX('規格與範圍'!$B$14:$B$23,MATCH(G336,'規格與範圍'!$A$14:$A$23,0)))</x:f>
        <x:v>0.994</x:v>
      </x:c>
      <x:c r="N336" s="42" t="n">
        <x:f>IF(OR(H336="",I336="",M336=""),"",H336*I336*M336/100)</x:f>
        <x:v>196.812</x:v>
      </x:c>
      <x:c r="O336" s="36" t="str">
        <x:v>友愛街 3F梁版往上 鋼筋料單 114.08.28.XLS｜工作表 05｜原列 61｜右欄</x:v>
      </x:c>
    </x:row>
    <x:row r="337" ht="15" hidden="0" customHeight="1">
      <x:c r="A337" s="40" t="str">
        <x:v>05</x:v>
      </x:c>
      <x:c r="B337" s="40" t="str">
        <x:v>5F</x:v>
      </x:c>
      <x:c r="C337" s="40" t="str">
        <x:v>梁版</x:v>
      </x:c>
      <x:c r="D337" s="40" t="str">
        <x:v>樓 梯</x:v>
      </x:c>
      <x:c r="E337" s="41" t="n">
        <x:v>63</x:v>
      </x:c>
      <x:c r="F337" s="40" t="str">
        <x:v>右欄</x:v>
      </x:c>
      <x:c r="G337" s="38" t="n">
        <x:v>3</x:v>
      </x:c>
      <x:c r="H337" s="37" t="n">
        <x:v>180</x:v>
      </x:c>
      <x:c r="I337" s="37" t="n">
        <x:v>14</x:v>
      </x:c>
      <x:c r="J337" s="37"/>
      <x:c r="K337" s="36" t="n">
        <x:v>80</x:v>
      </x:c>
      <x:c r="L337" s="37"/>
      <x:c r="M337" s="42" t="n">
        <x:f>IF(G337="","",INDEX('規格與範圍'!$B$14:$B$23,MATCH(G337,'規格與範圍'!$A$14:$A$23,0)))</x:f>
        <x:v>0.559</x:v>
      </x:c>
      <x:c r="N337" s="42" t="n">
        <x:f>IF(OR(H337="",I337="",M337=""),"",H337*I337*M337/100)</x:f>
        <x:v>14.0868</x:v>
      </x:c>
      <x:c r="O337" s="36" t="str">
        <x:v>友愛街 3F梁版往上 鋼筋料單 114.08.28.XLS｜工作表 05｜原列 63｜右欄</x:v>
      </x:c>
    </x:row>
    <x:row r="338" ht="15" hidden="0" customHeight="1">
      <x:c r="A338" s="40" t="str">
        <x:v>05</x:v>
      </x:c>
      <x:c r="B338" s="40" t="str">
        <x:v>5F</x:v>
      </x:c>
      <x:c r="C338" s="40" t="str">
        <x:v>梁版</x:v>
      </x:c>
      <x:c r="D338" s="40" t="str">
        <x:v>樓 梯</x:v>
      </x:c>
      <x:c r="E338" s="41" t="n">
        <x:v>66</x:v>
      </x:c>
      <x:c r="F338" s="40" t="str">
        <x:v>右欄</x:v>
      </x:c>
      <x:c r="G338" s="38" t="n">
        <x:v>3</x:v>
      </x:c>
      <x:c r="H338" s="37" t="n">
        <x:v>120</x:v>
      </x:c>
      <x:c r="I338" s="37" t="n">
        <x:v>84</x:v>
      </x:c>
      <x:c r="J338" s="37"/>
      <x:c r="K338" s="36" t="n">
        <x:v>105</x:v>
      </x:c>
      <x:c r="L338" s="37" t="n">
        <x:v>15</x:v>
      </x:c>
      <x:c r="M338" s="42" t="n">
        <x:f>IF(G338="","",INDEX('規格與範圍'!$B$14:$B$23,MATCH(G338,'規格與範圍'!$A$14:$A$23,0)))</x:f>
        <x:v>0.559</x:v>
      </x:c>
      <x:c r="N338" s="42" t="n">
        <x:f>IF(OR(H338="",I338="",M338=""),"",H338*I338*M338/100)</x:f>
        <x:v>56.3472</x:v>
      </x:c>
      <x:c r="O338" s="36" t="str">
        <x:v>友愛街 3F梁版往上 鋼筋料單 114.08.28.XLS｜工作表 05｜原列 66｜右欄</x:v>
      </x:c>
    </x:row>
    <x:row r="339" ht="15" hidden="0" customHeight="1">
      <x:c r="A339" s="40" t="str">
        <x:v>06</x:v>
      </x:c>
      <x:c r="B339" s="40" t="str">
        <x:v>5F</x:v>
      </x:c>
      <x:c r="C339" s="40" t="str">
        <x:v>柱牆</x:v>
      </x:c>
      <x:c r="D339" s="40" t="str">
        <x:v>柱 筋</x:v>
      </x:c>
      <x:c r="E339" s="41" t="n">
        <x:v>5</x:v>
      </x:c>
      <x:c r="F339" s="40" t="str">
        <x:v>左欄</x:v>
      </x:c>
      <x:c r="G339" s="38" t="n">
        <x:v>8</x:v>
      </x:c>
      <x:c r="H339" s="37" t="n">
        <x:v>230</x:v>
      </x:c>
      <x:c r="I339" s="37" t="n">
        <x:v>7</x:v>
      </x:c>
      <x:c r="J339" s="37"/>
      <x:c r="K339" s="36" t="n">
        <x:v>230</x:v>
      </x:c>
      <x:c r="L339" s="37"/>
      <x:c r="M339" s="42" t="n">
        <x:f>IF(G339="","",INDEX('規格與範圍'!$B$14:$B$23,MATCH(G339,'規格與範圍'!$A$14:$A$23,0)))</x:f>
        <x:v>3.98</x:v>
      </x:c>
      <x:c r="N339" s="42" t="n">
        <x:f>IF(OR(H339="",I339="",M339=""),"",H339*I339*M339/100)</x:f>
        <x:v>64.078</x:v>
      </x:c>
      <x:c r="O339" s="36" t="str">
        <x:v>友愛街 3F梁版往上 鋼筋料單 114.08.28.XLS｜工作表 06｜原列 5｜左欄</x:v>
      </x:c>
    </x:row>
    <x:row r="340" ht="15" hidden="0" customHeight="1">
      <x:c r="A340" s="40" t="str">
        <x:v>06</x:v>
      </x:c>
      <x:c r="B340" s="40" t="str">
        <x:v>5F</x:v>
      </x:c>
      <x:c r="C340" s="40" t="str">
        <x:v>柱牆</x:v>
      </x:c>
      <x:c r="D340" s="40" t="str">
        <x:v>柱 筋</x:v>
      </x:c>
      <x:c r="E340" s="41" t="n">
        <x:v>6</x:v>
      </x:c>
      <x:c r="F340" s="40" t="str">
        <x:v>左欄</x:v>
      </x:c>
      <x:c r="G340" s="38" t="n">
        <x:v>8</x:v>
      </x:c>
      <x:c r="H340" s="37" t="n">
        <x:v>150</x:v>
      </x:c>
      <x:c r="I340" s="37" t="n">
        <x:v>7</x:v>
      </x:c>
      <x:c r="J340" s="37"/>
      <x:c r="K340" s="36" t="n">
        <x:v>150</x:v>
      </x:c>
      <x:c r="L340" s="37"/>
      <x:c r="M340" s="42" t="n">
        <x:f>IF(G340="","",INDEX('規格與範圍'!$B$14:$B$23,MATCH(G340,'規格與範圍'!$A$14:$A$23,0)))</x:f>
        <x:v>3.98</x:v>
      </x:c>
      <x:c r="N340" s="42" t="n">
        <x:f>IF(OR(H340="",I340="",M340=""),"",H340*I340*M340/100)</x:f>
        <x:v>41.79</x:v>
      </x:c>
      <x:c r="O340" s="36" t="str">
        <x:v>友愛街 3F梁版往上 鋼筋料單 114.08.28.XLS｜工作表 06｜原列 6｜左欄</x:v>
      </x:c>
    </x:row>
    <x:row r="341" ht="15" hidden="0" customHeight="1">
      <x:c r="A341" s="40" t="str">
        <x:v>06</x:v>
      </x:c>
      <x:c r="B341" s="40" t="str">
        <x:v>5F</x:v>
      </x:c>
      <x:c r="C341" s="40" t="str">
        <x:v>柱牆</x:v>
      </x:c>
      <x:c r="D341" s="40" t="str">
        <x:v>柱 筋</x:v>
      </x:c>
      <x:c r="E341" s="41" t="n">
        <x:v>8</x:v>
      </x:c>
      <x:c r="F341" s="40" t="str">
        <x:v>左欄</x:v>
      </x:c>
      <x:c r="G341" s="38" t="n">
        <x:v>7</x:v>
      </x:c>
      <x:c r="H341" s="37" t="n">
        <x:v>230</x:v>
      </x:c>
      <x:c r="I341" s="37" t="n">
        <x:v>24</x:v>
      </x:c>
      <x:c r="J341" s="37"/>
      <x:c r="K341" s="36" t="n">
        <x:v>231</x:v>
      </x:c>
      <x:c r="L341" s="37" t="n">
        <x:v>8</x:v>
      </x:c>
      <x:c r="M341" s="42" t="n">
        <x:f>IF(G341="","",INDEX('規格與範圍'!$B$14:$B$23,MATCH(G341,'規格與範圍'!$A$14:$A$23,0)))</x:f>
        <x:v>3.05</x:v>
      </x:c>
      <x:c r="N341" s="42" t="n">
        <x:f>IF(OR(H341="",I341="",M341=""),"",H341*I341*M341/100)</x:f>
        <x:v>168.36</x:v>
      </x:c>
      <x:c r="O341" s="36" t="str">
        <x:v>友愛街 3F梁版往上 鋼筋料單 114.08.28.XLS｜工作表 06｜原列 8｜左欄</x:v>
      </x:c>
    </x:row>
    <x:row r="342" ht="15" hidden="0" customHeight="1">
      <x:c r="A342" s="40" t="str">
        <x:v>06</x:v>
      </x:c>
      <x:c r="B342" s="40" t="str">
        <x:v>5F</x:v>
      </x:c>
      <x:c r="C342" s="40" t="str">
        <x:v>柱牆</x:v>
      </x:c>
      <x:c r="D342" s="40" t="str">
        <x:v>柱 筋</x:v>
      </x:c>
      <x:c r="E342" s="41" t="n">
        <x:v>9</x:v>
      </x:c>
      <x:c r="F342" s="40" t="str">
        <x:v>左欄</x:v>
      </x:c>
      <x:c r="G342" s="38" t="n">
        <x:v>7</x:v>
      </x:c>
      <x:c r="H342" s="37" t="n">
        <x:v>230</x:v>
      </x:c>
      <x:c r="I342" s="37" t="n">
        <x:v>8</x:v>
      </x:c>
      <x:c r="J342" s="37"/>
      <x:c r="K342" s="36" t="n">
        <x:v>230</x:v>
      </x:c>
      <x:c r="L342" s="37"/>
      <x:c r="M342" s="42" t="n">
        <x:f>IF(G342="","",INDEX('規格與範圍'!$B$14:$B$23,MATCH(G342,'規格與範圍'!$A$14:$A$23,0)))</x:f>
        <x:v>3.05</x:v>
      </x:c>
      <x:c r="N342" s="42" t="n">
        <x:f>IF(OR(H342="",I342="",M342=""),"",H342*I342*M342/100)</x:f>
        <x:v>56.12</x:v>
      </x:c>
      <x:c r="O342" s="36" t="str">
        <x:v>友愛街 3F梁版往上 鋼筋料單 114.08.28.XLS｜工作表 06｜原列 9｜左欄</x:v>
      </x:c>
    </x:row>
    <x:row r="343" ht="15" hidden="0" customHeight="1">
      <x:c r="A343" s="40" t="str">
        <x:v>06</x:v>
      </x:c>
      <x:c r="B343" s="40" t="str">
        <x:v>5F</x:v>
      </x:c>
      <x:c r="C343" s="40" t="str">
        <x:v>柱牆</x:v>
      </x:c>
      <x:c r="D343" s="40" t="str">
        <x:v>柱 筋</x:v>
      </x:c>
      <x:c r="E343" s="41" t="n">
        <x:v>10</x:v>
      </x:c>
      <x:c r="F343" s="40" t="str">
        <x:v>左欄</x:v>
      </x:c>
      <x:c r="G343" s="38" t="n">
        <x:v>7</x:v>
      </x:c>
      <x:c r="H343" s="37" t="n">
        <x:v>150</x:v>
      </x:c>
      <x:c r="I343" s="37" t="n">
        <x:v>24</x:v>
      </x:c>
      <x:c r="J343" s="37"/>
      <x:c r="K343" s="36" t="n">
        <x:v>151</x:v>
      </x:c>
      <x:c r="L343" s="37" t="n">
        <x:v>8</x:v>
      </x:c>
      <x:c r="M343" s="42" t="n">
        <x:f>IF(G343="","",INDEX('規格與範圍'!$B$14:$B$23,MATCH(G343,'規格與範圍'!$A$14:$A$23,0)))</x:f>
        <x:v>3.05</x:v>
      </x:c>
      <x:c r="N343" s="42" t="n">
        <x:f>IF(OR(H343="",I343="",M343=""),"",H343*I343*M343/100)</x:f>
        <x:v>109.8</x:v>
      </x:c>
      <x:c r="O343" s="36" t="str">
        <x:v>友愛街 3F梁版往上 鋼筋料單 114.08.28.XLS｜工作表 06｜原列 10｜左欄</x:v>
      </x:c>
    </x:row>
    <x:row r="344" ht="15" hidden="0" customHeight="1">
      <x:c r="A344" s="40" t="str">
        <x:v>06</x:v>
      </x:c>
      <x:c r="B344" s="40" t="str">
        <x:v>5F</x:v>
      </x:c>
      <x:c r="C344" s="40" t="str">
        <x:v>柱牆</x:v>
      </x:c>
      <x:c r="D344" s="40" t="str">
        <x:v>柱 筋</x:v>
      </x:c>
      <x:c r="E344" s="41" t="n">
        <x:v>11</x:v>
      </x:c>
      <x:c r="F344" s="40" t="str">
        <x:v>左欄</x:v>
      </x:c>
      <x:c r="G344" s="38" t="n">
        <x:v>7</x:v>
      </x:c>
      <x:c r="H344" s="37" t="n">
        <x:v>150</x:v>
      </x:c>
      <x:c r="I344" s="37" t="n">
        <x:v>8</x:v>
      </x:c>
      <x:c r="J344" s="37"/>
      <x:c r="K344" s="36" t="n">
        <x:v>150</x:v>
      </x:c>
      <x:c r="L344" s="37"/>
      <x:c r="M344" s="42" t="n">
        <x:f>IF(G344="","",INDEX('規格與範圍'!$B$14:$B$23,MATCH(G344,'規格與範圍'!$A$14:$A$23,0)))</x:f>
        <x:v>3.05</x:v>
      </x:c>
      <x:c r="N344" s="42" t="n">
        <x:f>IF(OR(H344="",I344="",M344=""),"",H344*I344*M344/100)</x:f>
        <x:v>36.6</x:v>
      </x:c>
      <x:c r="O344" s="36" t="str">
        <x:v>友愛街 3F梁版往上 鋼筋料單 114.08.28.XLS｜工作表 06｜原列 11｜左欄</x:v>
      </x:c>
    </x:row>
    <x:row r="345" ht="15" hidden="0" customHeight="1">
      <x:c r="A345" s="40" t="str">
        <x:v>06</x:v>
      </x:c>
      <x:c r="B345" s="40" t="str">
        <x:v>5F</x:v>
      </x:c>
      <x:c r="C345" s="40" t="str">
        <x:v>柱牆</x:v>
      </x:c>
      <x:c r="D345" s="40" t="str">
        <x:v>柱 筋</x:v>
      </x:c>
      <x:c r="E345" s="41" t="n">
        <x:v>13</x:v>
      </x:c>
      <x:c r="F345" s="40" t="str">
        <x:v>左欄</x:v>
      </x:c>
      <x:c r="G345" s="38" t="n">
        <x:v>4</x:v>
      </x:c>
      <x:c r="H345" s="37" t="n">
        <x:v>226</x:v>
      </x:c>
      <x:c r="I345" s="37" t="n">
        <x:v>96</x:v>
      </x:c>
      <x:c r="J345" s="37" t="n">
        <x:v>13</x:v>
      </x:c>
      <x:c r="K345" s="36"/>
      <x:c r="L345" s="37" t="n">
        <x:v>40</x:v>
      </x:c>
      <x:c r="M345" s="42" t="n">
        <x:f>IF(G345="","",INDEX('規格與範圍'!$B$14:$B$23,MATCH(G345,'規格與範圍'!$A$14:$A$23,0)))</x:f>
        <x:v>0.994</x:v>
      </x:c>
      <x:c r="N345" s="42" t="n">
        <x:f>IF(OR(H345="",I345="",M345=""),"",H345*I345*M345/100)</x:f>
        <x:v>215.65824</x:v>
      </x:c>
      <x:c r="O345" s="36" t="str">
        <x:v>友愛街 3F梁版往上 鋼筋料單 114.08.28.XLS｜工作表 06｜原列 13｜左欄</x:v>
      </x:c>
    </x:row>
    <x:row r="346" ht="15" hidden="0" customHeight="1">
      <x:c r="A346" s="40" t="str">
        <x:v>06</x:v>
      </x:c>
      <x:c r="B346" s="40" t="str">
        <x:v>5F</x:v>
      </x:c>
      <x:c r="C346" s="40" t="str">
        <x:v>柱牆</x:v>
      </x:c>
      <x:c r="D346" s="40" t="str">
        <x:v>柱 筋</x:v>
      </x:c>
      <x:c r="E346" s="41" t="n">
        <x:v>15</x:v>
      </x:c>
      <x:c r="F346" s="40" t="str">
        <x:v>左欄</x:v>
      </x:c>
      <x:c r="G346" s="38" t="n">
        <x:v>4</x:v>
      </x:c>
      <x:c r="H346" s="37" t="n">
        <x:v>206</x:v>
      </x:c>
      <x:c r="I346" s="37" t="n">
        <x:v>32</x:v>
      </x:c>
      <x:c r="J346" s="37" t="n">
        <x:v>13</x:v>
      </x:c>
      <x:c r="K346" s="36"/>
      <x:c r="L346" s="37" t="n">
        <x:v>30</x:v>
      </x:c>
      <x:c r="M346" s="42" t="n">
        <x:f>IF(G346="","",INDEX('規格與範圍'!$B$14:$B$23,MATCH(G346,'規格與範圍'!$A$14:$A$23,0)))</x:f>
        <x:v>0.994</x:v>
      </x:c>
      <x:c r="N346" s="42" t="n">
        <x:f>IF(OR(H346="",I346="",M346=""),"",H346*I346*M346/100)</x:f>
        <x:v>65.52448</x:v>
      </x:c>
      <x:c r="O346" s="36" t="str">
        <x:v>友愛街 3F梁版往上 鋼筋料單 114.08.28.XLS｜工作表 06｜原列 15｜左欄</x:v>
      </x:c>
    </x:row>
    <x:row r="347" ht="15" hidden="0" customHeight="1">
      <x:c r="A347" s="40" t="str">
        <x:v>06</x:v>
      </x:c>
      <x:c r="B347" s="40" t="str">
        <x:v>5F</x:v>
      </x:c>
      <x:c r="C347" s="40" t="str">
        <x:v>柱牆</x:v>
      </x:c>
      <x:c r="D347" s="40" t="str">
        <x:v>柱 筋</x:v>
      </x:c>
      <x:c r="E347" s="41" t="n">
        <x:v>17</x:v>
      </x:c>
      <x:c r="F347" s="40" t="str">
        <x:v>左欄</x:v>
      </x:c>
      <x:c r="G347" s="38" t="n">
        <x:v>4</x:v>
      </x:c>
      <x:c r="H347" s="37" t="n">
        <x:v>126</x:v>
      </x:c>
      <x:c r="I347" s="37" t="n">
        <x:v>72</x:v>
      </x:c>
      <x:c r="J347" s="37" t="n">
        <x:v>13</x:v>
      </x:c>
      <x:c r="K347" s="36"/>
      <x:c r="L347" s="37" t="n">
        <x:v>25</x:v>
      </x:c>
      <x:c r="M347" s="42" t="n">
        <x:f>IF(G347="","",INDEX('規格與範圍'!$B$14:$B$23,MATCH(G347,'規格與範圍'!$A$14:$A$23,0)))</x:f>
        <x:v>0.994</x:v>
      </x:c>
      <x:c r="N347" s="42" t="n">
        <x:f>IF(OR(H347="",I347="",M347=""),"",H347*I347*M347/100)</x:f>
        <x:v>90.17568</x:v>
      </x:c>
      <x:c r="O347" s="36" t="str">
        <x:v>友愛街 3F梁版往上 鋼筋料單 114.08.28.XLS｜工作表 06｜原列 17｜左欄</x:v>
      </x:c>
    </x:row>
    <x:row r="348" ht="15" hidden="0" customHeight="1">
      <x:c r="A348" s="40" t="str">
        <x:v>06</x:v>
      </x:c>
      <x:c r="B348" s="40" t="str">
        <x:v>5F</x:v>
      </x:c>
      <x:c r="C348" s="40" t="str">
        <x:v>柱牆</x:v>
      </x:c>
      <x:c r="D348" s="40" t="str">
        <x:v>柱 筋</x:v>
      </x:c>
      <x:c r="E348" s="41" t="n">
        <x:v>20</x:v>
      </x:c>
      <x:c r="F348" s="40" t="str">
        <x:v>左欄</x:v>
      </x:c>
      <x:c r="G348" s="38" t="n">
        <x:v>4</x:v>
      </x:c>
      <x:c r="H348" s="37" t="n">
        <x:v>86</x:v>
      </x:c>
      <x:c r="I348" s="37" t="n">
        <x:v>224</x:v>
      </x:c>
      <x:c r="J348" s="37" t="n">
        <x:v>12</x:v>
      </x:c>
      <x:c r="K348" s="36" t="n">
        <x:v>61</x:v>
      </x:c>
      <x:c r="L348" s="37" t="n">
        <x:v>13</x:v>
      </x:c>
      <x:c r="M348" s="42" t="n">
        <x:f>IF(G348="","",INDEX('規格與範圍'!$B$14:$B$23,MATCH(G348,'規格與範圍'!$A$14:$A$23,0)))</x:f>
        <x:v>0.994</x:v>
      </x:c>
      <x:c r="N348" s="42" t="n">
        <x:f>IF(OR(H348="",I348="",M348=""),"",H348*I348*M348/100)</x:f>
        <x:v>191.48416</x:v>
      </x:c>
      <x:c r="O348" s="36" t="str">
        <x:v>友愛街 3F梁版往上 鋼筋料單 114.08.28.XLS｜工作表 06｜原列 20｜左欄</x:v>
      </x:c>
    </x:row>
    <x:row r="349" ht="15" hidden="0" customHeight="1">
      <x:c r="A349" s="40" t="str">
        <x:v>06</x:v>
      </x:c>
      <x:c r="B349" s="40" t="str">
        <x:v>5F</x:v>
      </x:c>
      <x:c r="C349" s="40" t="str">
        <x:v>柱牆</x:v>
      </x:c>
      <x:c r="D349" s="40" t="str">
        <x:v>柱 筋</x:v>
      </x:c>
      <x:c r="E349" s="41" t="n">
        <x:v>21</x:v>
      </x:c>
      <x:c r="F349" s="40" t="str">
        <x:v>左欄</x:v>
      </x:c>
      <x:c r="G349" s="38" t="n">
        <x:v>4</x:v>
      </x:c>
      <x:c r="H349" s="37" t="n">
        <x:v>66</x:v>
      </x:c>
      <x:c r="I349" s="37" t="n">
        <x:v>192</x:v>
      </x:c>
      <x:c r="J349" s="37" t="n">
        <x:v>12</x:v>
      </x:c>
      <x:c r="K349" s="36" t="n">
        <x:v>41</x:v>
      </x:c>
      <x:c r="L349" s="37" t="n">
        <x:v>13</x:v>
      </x:c>
      <x:c r="M349" s="42" t="n">
        <x:f>IF(G349="","",INDEX('規格與範圍'!$B$14:$B$23,MATCH(G349,'規格與範圍'!$A$14:$A$23,0)))</x:f>
        <x:v>0.994</x:v>
      </x:c>
      <x:c r="N349" s="42" t="n">
        <x:f>IF(OR(H349="",I349="",M349=""),"",H349*I349*M349/100)</x:f>
        <x:v>125.95968</x:v>
      </x:c>
      <x:c r="O349" s="36" t="str">
        <x:v>友愛街 3F梁版往上 鋼筋料單 114.08.28.XLS｜工作表 06｜原列 21｜左欄</x:v>
      </x:c>
    </x:row>
    <x:row r="350" ht="15" hidden="0" customHeight="1">
      <x:c r="A350" s="40" t="str">
        <x:v>06</x:v>
      </x:c>
      <x:c r="B350" s="40" t="str">
        <x:v>5F</x:v>
      </x:c>
      <x:c r="C350" s="40" t="str">
        <x:v>柱牆</x:v>
      </x:c>
      <x:c r="D350" s="40" t="str">
        <x:v>柱 筋</x:v>
      </x:c>
      <x:c r="E350" s="41" t="n">
        <x:v>22</x:v>
      </x:c>
      <x:c r="F350" s="40" t="str">
        <x:v>左欄</x:v>
      </x:c>
      <x:c r="G350" s="38" t="n">
        <x:v>4</x:v>
      </x:c>
      <x:c r="H350" s="37" t="n">
        <x:v>56</x:v>
      </x:c>
      <x:c r="I350" s="37" t="n">
        <x:v>64</x:v>
      </x:c>
      <x:c r="J350" s="37" t="n">
        <x:v>12</x:v>
      </x:c>
      <x:c r="K350" s="36" t="n">
        <x:v>31</x:v>
      </x:c>
      <x:c r="L350" s="37" t="n">
        <x:v>13</x:v>
      </x:c>
      <x:c r="M350" s="42" t="n">
        <x:f>IF(G350="","",INDEX('規格與範圍'!$B$14:$B$23,MATCH(G350,'規格與範圍'!$A$14:$A$23,0)))</x:f>
        <x:v>0.994</x:v>
      </x:c>
      <x:c r="N350" s="42" t="n">
        <x:f>IF(OR(H350="",I350="",M350=""),"",H350*I350*M350/100)</x:f>
        <x:v>35.62496</x:v>
      </x:c>
      <x:c r="O350" s="36" t="str">
        <x:v>友愛街 3F梁版往上 鋼筋料單 114.08.28.XLS｜工作表 06｜原列 22｜左欄</x:v>
      </x:c>
    </x:row>
    <x:row r="351" ht="15" hidden="0" customHeight="1">
      <x:c r="A351" s="40" t="str">
        <x:v>06</x:v>
      </x:c>
      <x:c r="B351" s="40" t="str">
        <x:v>5F</x:v>
      </x:c>
      <x:c r="C351" s="40" t="str">
        <x:v>柱牆</x:v>
      </x:c>
      <x:c r="D351" s="40" t="str">
        <x:v>柱 筋</x:v>
      </x:c>
      <x:c r="E351" s="41" t="n">
        <x:v>23</x:v>
      </x:c>
      <x:c r="F351" s="40" t="str">
        <x:v>左欄</x:v>
      </x:c>
      <x:c r="G351" s="38" t="n">
        <x:v>4</x:v>
      </x:c>
      <x:c r="H351" s="37" t="n">
        <x:v>51</x:v>
      </x:c>
      <x:c r="I351" s="37" t="n">
        <x:v>144</x:v>
      </x:c>
      <x:c r="J351" s="37" t="n">
        <x:v>12</x:v>
      </x:c>
      <x:c r="K351" s="36" t="n">
        <x:v>26</x:v>
      </x:c>
      <x:c r="L351" s="37" t="n">
        <x:v>13</x:v>
      </x:c>
      <x:c r="M351" s="42" t="n">
        <x:f>IF(G351="","",INDEX('規格與範圍'!$B$14:$B$23,MATCH(G351,'規格與範圍'!$A$14:$A$23,0)))</x:f>
        <x:v>0.994</x:v>
      </x:c>
      <x:c r="N351" s="42" t="n">
        <x:f>IF(OR(H351="",I351="",M351=""),"",H351*I351*M351/100)</x:f>
        <x:v>72.99936</x:v>
      </x:c>
      <x:c r="O351" s="36" t="str">
        <x:v>友愛街 3F梁版往上 鋼筋料單 114.08.28.XLS｜工作表 06｜原列 23｜左欄</x:v>
      </x:c>
    </x:row>
    <x:row r="352" ht="15" hidden="0" customHeight="1">
      <x:c r="A352" s="40" t="str">
        <x:v>06</x:v>
      </x:c>
      <x:c r="B352" s="40" t="str">
        <x:v>5F</x:v>
      </x:c>
      <x:c r="C352" s="40" t="str">
        <x:v>柱牆</x:v>
      </x:c>
      <x:c r="D352" s="40" t="str">
        <x:v>牆 主 筋</x:v>
      </x:c>
      <x:c r="E352" s="41" t="n">
        <x:v>26</x:v>
      </x:c>
      <x:c r="F352" s="40" t="str">
        <x:v>左欄</x:v>
      </x:c>
      <x:c r="G352" s="38" t="n">
        <x:v>4</x:v>
      </x:c>
      <x:c r="H352" s="37" t="n">
        <x:v>400</x:v>
      </x:c>
      <x:c r="I352" s="37" t="n">
        <x:v>120</x:v>
      </x:c>
      <x:c r="J352" s="37"/>
      <x:c r="K352" s="36" t="n">
        <x:v>400</x:v>
      </x:c>
      <x:c r="L352" s="37"/>
      <x:c r="M352" s="42" t="n">
        <x:f>IF(G352="","",INDEX('規格與範圍'!$B$14:$B$23,MATCH(G352,'規格與範圍'!$A$14:$A$23,0)))</x:f>
        <x:v>0.994</x:v>
      </x:c>
      <x:c r="N352" s="42" t="n">
        <x:f>IF(OR(H352="",I352="",M352=""),"",H352*I352*M352/100)</x:f>
        <x:v>477.12</x:v>
      </x:c>
      <x:c r="O352" s="36" t="str">
        <x:v>友愛街 3F梁版往上 鋼筋料單 114.08.28.XLS｜工作表 06｜原列 26｜左欄</x:v>
      </x:c>
    </x:row>
    <x:row r="353" ht="15" hidden="0" customHeight="1">
      <x:c r="A353" s="40" t="str">
        <x:v>06</x:v>
      </x:c>
      <x:c r="B353" s="40" t="str">
        <x:v>5F</x:v>
      </x:c>
      <x:c r="C353" s="40" t="str">
        <x:v>柱牆</x:v>
      </x:c>
      <x:c r="D353" s="40" t="str">
        <x:v>牆 主 筋</x:v>
      </x:c>
      <x:c r="E353" s="41" t="n">
        <x:v>27</x:v>
      </x:c>
      <x:c r="F353" s="40" t="str">
        <x:v>左欄</x:v>
      </x:c>
      <x:c r="G353" s="38" t="n">
        <x:v>4</x:v>
      </x:c>
      <x:c r="H353" s="37" t="n">
        <x:v>350</x:v>
      </x:c>
      <x:c r="I353" s="37" t="n">
        <x:v>42</x:v>
      </x:c>
      <x:c r="J353" s="37"/>
      <x:c r="K353" s="36" t="n">
        <x:v>350</x:v>
      </x:c>
      <x:c r="L353" s="37"/>
      <x:c r="M353" s="42" t="n">
        <x:f>IF(G353="","",INDEX('規格與範圍'!$B$14:$B$23,MATCH(G353,'規格與範圍'!$A$14:$A$23,0)))</x:f>
        <x:v>0.994</x:v>
      </x:c>
      <x:c r="N353" s="42" t="n">
        <x:f>IF(OR(H353="",I353="",M353=""),"",H353*I353*M353/100)</x:f>
        <x:v>146.118</x:v>
      </x:c>
      <x:c r="O353" s="36" t="str">
        <x:v>友愛街 3F梁版往上 鋼筋料單 114.08.28.XLS｜工作表 06｜原列 27｜左欄</x:v>
      </x:c>
    </x:row>
    <x:row r="354" ht="15" hidden="0" customHeight="1">
      <x:c r="A354" s="40" t="str">
        <x:v>06</x:v>
      </x:c>
      <x:c r="B354" s="40" t="str">
        <x:v>5F</x:v>
      </x:c>
      <x:c r="C354" s="40" t="str">
        <x:v>柱牆</x:v>
      </x:c>
      <x:c r="D354" s="40" t="str">
        <x:v>牆 主 筋</x:v>
      </x:c>
      <x:c r="E354" s="41" t="n">
        <x:v>28</x:v>
      </x:c>
      <x:c r="F354" s="40" t="str">
        <x:v>左欄</x:v>
      </x:c>
      <x:c r="G354" s="38" t="n">
        <x:v>3</x:v>
      </x:c>
      <x:c r="H354" s="37" t="n">
        <x:v>355</x:v>
      </x:c>
      <x:c r="I354" s="37" t="n">
        <x:v>100</x:v>
      </x:c>
      <x:c r="J354" s="37"/>
      <x:c r="K354" s="36" t="n">
        <x:v>355</x:v>
      </x:c>
      <x:c r="L354" s="37"/>
      <x:c r="M354" s="42" t="n">
        <x:f>IF(G354="","",INDEX('規格與範圍'!$B$14:$B$23,MATCH(G354,'規格與範圍'!$A$14:$A$23,0)))</x:f>
        <x:v>0.559</x:v>
      </x:c>
      <x:c r="N354" s="42" t="n">
        <x:f>IF(OR(H354="",I354="",M354=""),"",H354*I354*M354/100)</x:f>
        <x:v>198.44500000000005</x:v>
      </x:c>
      <x:c r="O354" s="36" t="str">
        <x:v>友愛街 3F梁版往上 鋼筋料單 114.08.28.XLS｜工作表 06｜原列 28｜左欄</x:v>
      </x:c>
    </x:row>
    <x:row r="355" ht="15" hidden="0" customHeight="1">
      <x:c r="A355" s="40" t="str">
        <x:v>06</x:v>
      </x:c>
      <x:c r="B355" s="40" t="str">
        <x:v>5F</x:v>
      </x:c>
      <x:c r="C355" s="40" t="str">
        <x:v>柱牆</x:v>
      </x:c>
      <x:c r="D355" s="40" t="str">
        <x:v>牆 主 筋</x:v>
      </x:c>
      <x:c r="E355" s="41" t="n">
        <x:v>29</x:v>
      </x:c>
      <x:c r="F355" s="40" t="str">
        <x:v>左欄</x:v>
      </x:c>
      <x:c r="G355" s="38" t="n">
        <x:v>3</x:v>
      </x:c>
      <x:c r="H355" s="37" t="n">
        <x:v>335</x:v>
      </x:c>
      <x:c r="I355" s="37" t="n">
        <x:v>100</x:v>
      </x:c>
      <x:c r="J355" s="37"/>
      <x:c r="K355" s="36" t="n">
        <x:v>335</x:v>
      </x:c>
      <x:c r="L355" s="37"/>
      <x:c r="M355" s="42" t="n">
        <x:f>IF(G355="","",INDEX('規格與範圍'!$B$14:$B$23,MATCH(G355,'規格與範圍'!$A$14:$A$23,0)))</x:f>
        <x:v>0.559</x:v>
      </x:c>
      <x:c r="N355" s="42" t="n">
        <x:f>IF(OR(H355="",I355="",M355=""),"",H355*I355*M355/100)</x:f>
        <x:v>187.265</x:v>
      </x:c>
      <x:c r="O355" s="36" t="str">
        <x:v>友愛街 3F梁版往上 鋼筋料單 114.08.28.XLS｜工作表 06｜原列 29｜左欄</x:v>
      </x:c>
    </x:row>
    <x:row r="356" ht="15" hidden="0" customHeight="1">
      <x:c r="A356" s="40" t="str">
        <x:v>06</x:v>
      </x:c>
      <x:c r="B356" s="40" t="str">
        <x:v>5F</x:v>
      </x:c>
      <x:c r="C356" s="40" t="str">
        <x:v>柱牆</x:v>
      </x:c>
      <x:c r="D356" s="40" t="str">
        <x:v>牆 主 筋</x:v>
      </x:c>
      <x:c r="E356" s="41" t="n">
        <x:v>30</x:v>
      </x:c>
      <x:c r="F356" s="40" t="str">
        <x:v>左欄</x:v>
      </x:c>
      <x:c r="G356" s="38" t="n">
        <x:v>3</x:v>
      </x:c>
      <x:c r="H356" s="37" t="n">
        <x:v>145</x:v>
      </x:c>
      <x:c r="I356" s="37" t="n">
        <x:v>500</x:v>
      </x:c>
      <x:c r="J356" s="37"/>
      <x:c r="K356" s="36" t="n">
        <x:v>145</x:v>
      </x:c>
      <x:c r="L356" s="37"/>
      <x:c r="M356" s="42" t="n">
        <x:f>IF(G356="","",INDEX('規格與範圍'!$B$14:$B$23,MATCH(G356,'規格與範圍'!$A$14:$A$23,0)))</x:f>
        <x:v>0.559</x:v>
      </x:c>
      <x:c r="N356" s="42" t="n">
        <x:f>IF(OR(H356="",I356="",M356=""),"",H356*I356*M356/100)</x:f>
        <x:v>405.2750000000001</x:v>
      </x:c>
      <x:c r="O356" s="36" t="str">
        <x:v>友愛街 3F梁版往上 鋼筋料單 114.08.28.XLS｜工作表 06｜原列 30｜左欄</x:v>
      </x:c>
    </x:row>
    <x:row r="357" ht="15" hidden="0" customHeight="1">
      <x:c r="A357" s="40" t="str">
        <x:v>06</x:v>
      </x:c>
      <x:c r="B357" s="40" t="str">
        <x:v>5F</x:v>
      </x:c>
      <x:c r="C357" s="40" t="str">
        <x:v>柱牆</x:v>
      </x:c>
      <x:c r="D357" s="40" t="str">
        <x:v>牆 主 筋</x:v>
      </x:c>
      <x:c r="E357" s="41" t="n">
        <x:v>31</x:v>
      </x:c>
      <x:c r="F357" s="40" t="str">
        <x:v>左欄</x:v>
      </x:c>
      <x:c r="G357" s="38" t="n">
        <x:v>3</x:v>
      </x:c>
      <x:c r="H357" s="37" t="n">
        <x:v>115</x:v>
      </x:c>
      <x:c r="I357" s="37" t="n">
        <x:v>200</x:v>
      </x:c>
      <x:c r="J357" s="37"/>
      <x:c r="K357" s="36" t="n">
        <x:v>115</x:v>
      </x:c>
      <x:c r="L357" s="37"/>
      <x:c r="M357" s="42" t="n">
        <x:f>IF(G357="","",INDEX('規格與範圍'!$B$14:$B$23,MATCH(G357,'規格與範圍'!$A$14:$A$23,0)))</x:f>
        <x:v>0.559</x:v>
      </x:c>
      <x:c r="N357" s="42" t="n">
        <x:f>IF(OR(H357="",I357="",M357=""),"",H357*I357*M357/100)</x:f>
        <x:v>128.57000000000002</x:v>
      </x:c>
      <x:c r="O357" s="36" t="str">
        <x:v>友愛街 3F梁版往上 鋼筋料單 114.08.28.XLS｜工作表 06｜原列 31｜左欄</x:v>
      </x:c>
    </x:row>
    <x:row r="358" ht="15" hidden="0" customHeight="1">
      <x:c r="A358" s="40" t="str">
        <x:v>06</x:v>
      </x:c>
      <x:c r="B358" s="40" t="str">
        <x:v>5F</x:v>
      </x:c>
      <x:c r="C358" s="40" t="str">
        <x:v>柱牆</x:v>
      </x:c>
      <x:c r="D358" s="40" t="str">
        <x:v>開 口 補 強</x:v>
      </x:c>
      <x:c r="E358" s="41" t="n">
        <x:v>33</x:v>
      </x:c>
      <x:c r="F358" s="40" t="str">
        <x:v>左欄</x:v>
      </x:c>
      <x:c r="G358" s="38" t="n">
        <x:v>5</x:v>
      </x:c>
      <x:c r="H358" s="37" t="n">
        <x:v>355</x:v>
      </x:c>
      <x:c r="I358" s="37" t="n">
        <x:v>16</x:v>
      </x:c>
      <x:c r="J358" s="37"/>
      <x:c r="K358" s="36" t="n">
        <x:v>355</x:v>
      </x:c>
      <x:c r="L358" s="37"/>
      <x:c r="M358" s="42" t="n">
        <x:f>IF(G358="","",INDEX('規格與範圍'!$B$14:$B$23,MATCH(G358,'規格與範圍'!$A$14:$A$23,0)))</x:f>
        <x:v>1.56</x:v>
      </x:c>
      <x:c r="N358" s="42" t="n">
        <x:f>IF(OR(H358="",I358="",M358=""),"",H358*I358*M358/100)</x:f>
        <x:v>88.608</x:v>
      </x:c>
      <x:c r="O358" s="36" t="str">
        <x:v>友愛街 3F梁版往上 鋼筋料單 114.08.28.XLS｜工作表 06｜原列 33｜左欄</x:v>
      </x:c>
    </x:row>
    <x:row r="359" ht="15" hidden="0" customHeight="1">
      <x:c r="A359" s="40" t="str">
        <x:v>06</x:v>
      </x:c>
      <x:c r="B359" s="40" t="str">
        <x:v>5F</x:v>
      </x:c>
      <x:c r="C359" s="40" t="str">
        <x:v>柱牆</x:v>
      </x:c>
      <x:c r="D359" s="40" t="str">
        <x:v>開 口 補 強</x:v>
      </x:c>
      <x:c r="E359" s="41" t="n">
        <x:v>34</x:v>
      </x:c>
      <x:c r="F359" s="40" t="str">
        <x:v>左欄</x:v>
      </x:c>
      <x:c r="G359" s="38" t="n">
        <x:v>5</x:v>
      </x:c>
      <x:c r="H359" s="37" t="n">
        <x:v>120</x:v>
      </x:c>
      <x:c r="I359" s="37" t="n">
        <x:v>4</x:v>
      </x:c>
      <x:c r="J359" s="37"/>
      <x:c r="K359" s="36" t="n">
        <x:v>120</x:v>
      </x:c>
      <x:c r="L359" s="37"/>
      <x:c r="M359" s="42" t="n">
        <x:f>IF(G359="","",INDEX('規格與範圍'!$B$14:$B$23,MATCH(G359,'規格與範圍'!$A$14:$A$23,0)))</x:f>
        <x:v>1.56</x:v>
      </x:c>
      <x:c r="N359" s="42" t="n">
        <x:f>IF(OR(H359="",I359="",M359=""),"",H359*I359*M359/100)</x:f>
        <x:v>7.488</x:v>
      </x:c>
      <x:c r="O359" s="36" t="str">
        <x:v>友愛街 3F梁版往上 鋼筋料單 114.08.28.XLS｜工作表 06｜原列 34｜左欄</x:v>
      </x:c>
    </x:row>
    <x:row r="360" ht="15" hidden="0" customHeight="1">
      <x:c r="A360" s="40" t="str">
        <x:v>06</x:v>
      </x:c>
      <x:c r="B360" s="40" t="str">
        <x:v>5F</x:v>
      </x:c>
      <x:c r="C360" s="40" t="str">
        <x:v>柱牆</x:v>
      </x:c>
      <x:c r="D360" s="40" t="str">
        <x:v>開 口 補 強</x:v>
      </x:c>
      <x:c r="E360" s="41" t="n">
        <x:v>36</x:v>
      </x:c>
      <x:c r="F360" s="40" t="str">
        <x:v>左欄</x:v>
      </x:c>
      <x:c r="G360" s="38" t="n">
        <x:v>4</x:v>
      </x:c>
      <x:c r="H360" s="37" t="n">
        <x:v>335</x:v>
      </x:c>
      <x:c r="I360" s="37" t="n">
        <x:v>128</x:v>
      </x:c>
      <x:c r="J360" s="37"/>
      <x:c r="K360" s="36" t="n">
        <x:v>335</x:v>
      </x:c>
      <x:c r="L360" s="37"/>
      <x:c r="M360" s="42" t="n">
        <x:f>IF(G360="","",INDEX('規格與範圍'!$B$14:$B$23,MATCH(G360,'規格與範圍'!$A$14:$A$23,0)))</x:f>
        <x:v>0.994</x:v>
      </x:c>
      <x:c r="N360" s="42" t="n">
        <x:f>IF(OR(H360="",I360="",M360=""),"",H360*I360*M360/100)</x:f>
        <x:v>426.22720000000004</x:v>
      </x:c>
      <x:c r="O360" s="36" t="str">
        <x:v>友愛街 3F梁版往上 鋼筋料單 114.08.28.XLS｜工作表 06｜原列 36｜左欄</x:v>
      </x:c>
    </x:row>
    <x:row r="361" ht="15" hidden="0" customHeight="1">
      <x:c r="A361" s="40" t="str">
        <x:v>06</x:v>
      </x:c>
      <x:c r="B361" s="40" t="str">
        <x:v>5F</x:v>
      </x:c>
      <x:c r="C361" s="40" t="str">
        <x:v>柱牆</x:v>
      </x:c>
      <x:c r="D361" s="40" t="str">
        <x:v>開 口 補 強</x:v>
      </x:c>
      <x:c r="E361" s="41" t="n">
        <x:v>37</x:v>
      </x:c>
      <x:c r="F361" s="40" t="str">
        <x:v>左欄</x:v>
      </x:c>
      <x:c r="G361" s="38" t="n">
        <x:v>4</x:v>
      </x:c>
      <x:c r="H361" s="37" t="n">
        <x:v>120</x:v>
      </x:c>
      <x:c r="I361" s="37" t="n">
        <x:v>64</x:v>
      </x:c>
      <x:c r="J361" s="37"/>
      <x:c r="K361" s="36" t="n">
        <x:v>120</x:v>
      </x:c>
      <x:c r="L361" s="37"/>
      <x:c r="M361" s="42" t="n">
        <x:f>IF(G361="","",INDEX('規格與範圍'!$B$14:$B$23,MATCH(G361,'規格與範圍'!$A$14:$A$23,0)))</x:f>
        <x:v>0.994</x:v>
      </x:c>
      <x:c r="N361" s="42" t="n">
        <x:f>IF(OR(H361="",I361="",M361=""),"",H361*I361*M361/100)</x:f>
        <x:v>76.3392</x:v>
      </x:c>
      <x:c r="O361" s="36" t="str">
        <x:v>友愛街 3F梁版往上 鋼筋料單 114.08.28.XLS｜工作表 06｜原列 37｜左欄</x:v>
      </x:c>
    </x:row>
    <x:row r="362" ht="15" hidden="0" customHeight="1">
      <x:c r="A362" s="40" t="str">
        <x:v>06</x:v>
      </x:c>
      <x:c r="B362" s="40" t="str">
        <x:v>5F</x:v>
      </x:c>
      <x:c r="C362" s="40" t="str">
        <x:v>柱牆</x:v>
      </x:c>
      <x:c r="D362" s="40" t="str">
        <x:v>牆 間 隔 筋</x:v>
      </x:c>
      <x:c r="E362" s="41" t="n">
        <x:v>40</x:v>
      </x:c>
      <x:c r="F362" s="40" t="str">
        <x:v>左欄</x:v>
      </x:c>
      <x:c r="G362" s="38" t="n">
        <x:v>3</x:v>
      </x:c>
      <x:c r="H362" s="37" t="n">
        <x:v>55</x:v>
      </x:c>
      <x:c r="I362" s="37" t="n">
        <x:v>90</x:v>
      </x:c>
      <x:c r="J362" s="37" t="n">
        <x:v>7</x:v>
      </x:c>
      <x:c r="K362" s="36" t="n">
        <x:v>1830</x:v>
      </x:c>
      <x:c r="L362" s="37"/>
      <x:c r="M362" s="42" t="n">
        <x:f>IF(G362="","",INDEX('規格與範圍'!$B$14:$B$23,MATCH(G362,'規格與範圍'!$A$14:$A$23,0)))</x:f>
        <x:v>0.559</x:v>
      </x:c>
      <x:c r="N362" s="42" t="n">
        <x:f>IF(OR(H362="",I362="",M362=""),"",H362*I362*M362/100)</x:f>
        <x:v>27.6705</x:v>
      </x:c>
      <x:c r="O362" s="36" t="str">
        <x:v>友愛街 3F梁版往上 鋼筋料單 114.08.28.XLS｜工作表 06｜原列 40｜左欄</x:v>
      </x:c>
    </x:row>
    <x:row r="363" ht="15" hidden="0" customHeight="1">
      <x:c r="A363" s="40" t="str">
        <x:v>06</x:v>
      </x:c>
      <x:c r="B363" s="40" t="str">
        <x:v>5F</x:v>
      </x:c>
      <x:c r="C363" s="40" t="str">
        <x:v>柱牆</x:v>
      </x:c>
      <x:c r="D363" s="40" t="str">
        <x:v>牆 副 筋</x:v>
      </x:c>
      <x:c r="E363" s="41" t="n">
        <x:v>5</x:v>
      </x:c>
      <x:c r="F363" s="40" t="str">
        <x:v>右欄</x:v>
      </x:c>
      <x:c r="G363" s="38" t="n">
        <x:v>4</x:v>
      </x:c>
      <x:c r="H363" s="37" t="n">
        <x:v>180</x:v>
      </x:c>
      <x:c r="I363" s="37" t="n">
        <x:v>38</x:v>
      </x:c>
      <x:c r="J363" s="37"/>
      <x:c r="K363" s="36" t="n">
        <x:v>160</x:v>
      </x:c>
      <x:c r="L363" s="37" t="n">
        <x:v>20</x:v>
      </x:c>
      <x:c r="M363" s="42" t="n">
        <x:f>IF(G363="","",INDEX('規格與範圍'!$B$14:$B$23,MATCH(G363,'規格與範圍'!$A$14:$A$23,0)))</x:f>
        <x:v>0.994</x:v>
      </x:c>
      <x:c r="N363" s="42" t="n">
        <x:f>IF(OR(H363="",I363="",M363=""),"",H363*I363*M363/100)</x:f>
        <x:v>67.9896</x:v>
      </x:c>
      <x:c r="O363" s="36" t="str">
        <x:v>友愛街 3F梁版往上 鋼筋料單 114.08.28.XLS｜工作表 06｜原列 5｜右欄</x:v>
      </x:c>
    </x:row>
    <x:row r="364" ht="15" hidden="0" customHeight="1">
      <x:c r="A364" s="40" t="str">
        <x:v>06</x:v>
      </x:c>
      <x:c r="B364" s="40" t="str">
        <x:v>5F</x:v>
      </x:c>
      <x:c r="C364" s="40" t="str">
        <x:v>柱牆</x:v>
      </x:c>
      <x:c r="D364" s="40" t="str">
        <x:v>牆 副 筋</x:v>
      </x:c>
      <x:c r="E364" s="41" t="n">
        <x:v>6</x:v>
      </x:c>
      <x:c r="F364" s="40" t="str">
        <x:v>右欄</x:v>
      </x:c>
      <x:c r="G364" s="38" t="n">
        <x:v>4</x:v>
      </x:c>
      <x:c r="H364" s="37" t="n">
        <x:v>140</x:v>
      </x:c>
      <x:c r="I364" s="37" t="n">
        <x:v>38</x:v>
      </x:c>
      <x:c r="J364" s="37"/>
      <x:c r="K364" s="36" t="n">
        <x:v>100</x:v>
      </x:c>
      <x:c r="L364" s="37" t="n">
        <x:v>40</x:v>
      </x:c>
      <x:c r="M364" s="42" t="n">
        <x:f>IF(G364="","",INDEX('規格與範圍'!$B$14:$B$23,MATCH(G364,'規格與範圍'!$A$14:$A$23,0)))</x:f>
        <x:v>0.994</x:v>
      </x:c>
      <x:c r="N364" s="42" t="n">
        <x:f>IF(OR(H364="",I364="",M364=""),"",H364*I364*M364/100)</x:f>
        <x:v>52.8808</x:v>
      </x:c>
      <x:c r="O364" s="36" t="str">
        <x:v>友愛街 3F梁版往上 鋼筋料單 114.08.28.XLS｜工作表 06｜原列 6｜右欄</x:v>
      </x:c>
    </x:row>
    <x:row r="365" ht="15" hidden="0" customHeight="1">
      <x:c r="A365" s="40" t="str">
        <x:v>06</x:v>
      </x:c>
      <x:c r="B365" s="40" t="str">
        <x:v>5F</x:v>
      </x:c>
      <x:c r="C365" s="40" t="str">
        <x:v>柱牆</x:v>
      </x:c>
      <x:c r="D365" s="40" t="str">
        <x:v>牆 副 筋</x:v>
      </x:c>
      <x:c r="E365" s="41" t="n">
        <x:v>7</x:v>
      </x:c>
      <x:c r="F365" s="40" t="str">
        <x:v>右欄</x:v>
      </x:c>
      <x:c r="G365" s="38" t="n">
        <x:v>4</x:v>
      </x:c>
      <x:c r="H365" s="37" t="n">
        <x:v>385</x:v>
      </x:c>
      <x:c r="I365" s="37" t="n">
        <x:v>24</x:v>
      </x:c>
      <x:c r="J365" s="37"/>
      <x:c r="K365" s="36" t="n">
        <x:v>385</x:v>
      </x:c>
      <x:c r="L365" s="37"/>
      <x:c r="M365" s="42" t="n">
        <x:f>IF(G365="","",INDEX('規格與範圍'!$B$14:$B$23,MATCH(G365,'規格與範圍'!$A$14:$A$23,0)))</x:f>
        <x:v>0.994</x:v>
      </x:c>
      <x:c r="N365" s="42" t="n">
        <x:f>IF(OR(H365="",I365="",M365=""),"",H365*I365*M365/100)</x:f>
        <x:v>91.84559999999999</x:v>
      </x:c>
      <x:c r="O365" s="36" t="str">
        <x:v>友愛街 3F梁版往上 鋼筋料單 114.08.28.XLS｜工作表 06｜原列 7｜右欄</x:v>
      </x:c>
    </x:row>
    <x:row r="366" ht="15" hidden="0" customHeight="1">
      <x:c r="A366" s="40" t="str">
        <x:v>06</x:v>
      </x:c>
      <x:c r="B366" s="40" t="str">
        <x:v>5F</x:v>
      </x:c>
      <x:c r="C366" s="40" t="str">
        <x:v>柱牆</x:v>
      </x:c>
      <x:c r="D366" s="40" t="str">
        <x:v>牆 副 筋</x:v>
      </x:c>
      <x:c r="E366" s="41" t="n">
        <x:v>8</x:v>
      </x:c>
      <x:c r="F366" s="40" t="str">
        <x:v>右欄</x:v>
      </x:c>
      <x:c r="G366" s="38" t="n">
        <x:v>4</x:v>
      </x:c>
      <x:c r="H366" s="37" t="n">
        <x:v>350</x:v>
      </x:c>
      <x:c r="I366" s="37" t="n">
        <x:v>42</x:v>
      </x:c>
      <x:c r="J366" s="37"/>
      <x:c r="K366" s="36" t="n">
        <x:v>350</x:v>
      </x:c>
      <x:c r="L366" s="37"/>
      <x:c r="M366" s="42" t="n">
        <x:f>IF(G366="","",INDEX('規格與範圍'!$B$14:$B$23,MATCH(G366,'規格與範圍'!$A$14:$A$23,0)))</x:f>
        <x:v>0.994</x:v>
      </x:c>
      <x:c r="N366" s="42" t="n">
        <x:f>IF(OR(H366="",I366="",M366=""),"",H366*I366*M366/100)</x:f>
        <x:v>146.118</x:v>
      </x:c>
      <x:c r="O366" s="36" t="str">
        <x:v>友愛街 3F梁版往上 鋼筋料單 114.08.28.XLS｜工作表 06｜原列 8｜右欄</x:v>
      </x:c>
    </x:row>
    <x:row r="367" ht="15" hidden="0" customHeight="1">
      <x:c r="A367" s="40" t="str">
        <x:v>06</x:v>
      </x:c>
      <x:c r="B367" s="40" t="str">
        <x:v>5F</x:v>
      </x:c>
      <x:c r="C367" s="40" t="str">
        <x:v>柱牆</x:v>
      </x:c>
      <x:c r="D367" s="40" t="str">
        <x:v>牆 副 筋</x:v>
      </x:c>
      <x:c r="E367" s="41" t="n">
        <x:v>9</x:v>
      </x:c>
      <x:c r="F367" s="40" t="str">
        <x:v>右欄</x:v>
      </x:c>
      <x:c r="G367" s="38" t="n">
        <x:v>4</x:v>
      </x:c>
      <x:c r="H367" s="37" t="n">
        <x:v>260</x:v>
      </x:c>
      <x:c r="I367" s="37" t="n">
        <x:v>38</x:v>
      </x:c>
      <x:c r="J367" s="37"/>
      <x:c r="K367" s="36" t="n">
        <x:v>260</x:v>
      </x:c>
      <x:c r="L367" s="37"/>
      <x:c r="M367" s="42" t="n">
        <x:f>IF(G367="","",INDEX('規格與範圍'!$B$14:$B$23,MATCH(G367,'規格與範圍'!$A$14:$A$23,0)))</x:f>
        <x:v>0.994</x:v>
      </x:c>
      <x:c r="N367" s="42" t="n">
        <x:f>IF(OR(H367="",I367="",M367=""),"",H367*I367*M367/100)</x:f>
        <x:v>98.2072</x:v>
      </x:c>
      <x:c r="O367" s="36" t="str">
        <x:v>友愛街 3F梁版往上 鋼筋料單 114.08.28.XLS｜工作表 06｜原列 9｜右欄</x:v>
      </x:c>
    </x:row>
    <x:row r="368" ht="15" hidden="0" customHeight="1">
      <x:c r="A368" s="40" t="str">
        <x:v>06</x:v>
      </x:c>
      <x:c r="B368" s="40" t="str">
        <x:v>5F</x:v>
      </x:c>
      <x:c r="C368" s="40" t="str">
        <x:v>柱牆</x:v>
      </x:c>
      <x:c r="D368" s="40" t="str">
        <x:v>牆 副 筋</x:v>
      </x:c>
      <x:c r="E368" s="41" t="n">
        <x:v>10</x:v>
      </x:c>
      <x:c r="F368" s="40" t="str">
        <x:v>右欄</x:v>
      </x:c>
      <x:c r="G368" s="38" t="n">
        <x:v>4</x:v>
      </x:c>
      <x:c r="H368" s="37" t="n">
        <x:v>240</x:v>
      </x:c>
      <x:c r="I368" s="37" t="n">
        <x:v>18</x:v>
      </x:c>
      <x:c r="J368" s="37"/>
      <x:c r="K368" s="36" t="n">
        <x:v>240</x:v>
      </x:c>
      <x:c r="L368" s="37"/>
      <x:c r="M368" s="42" t="n">
        <x:f>IF(G368="","",INDEX('規格與範圍'!$B$14:$B$23,MATCH(G368,'規格與範圍'!$A$14:$A$23,0)))</x:f>
        <x:v>0.994</x:v>
      </x:c>
      <x:c r="N368" s="42" t="n">
        <x:f>IF(OR(H368="",I368="",M368=""),"",H368*I368*M368/100)</x:f>
        <x:v>42.940799999999996</x:v>
      </x:c>
      <x:c r="O368" s="36" t="str">
        <x:v>友愛街 3F梁版往上 鋼筋料單 114.08.28.XLS｜工作表 06｜原列 10｜右欄</x:v>
      </x:c>
    </x:row>
    <x:row r="369" ht="15" hidden="0" customHeight="1">
      <x:c r="A369" s="40" t="str">
        <x:v>06</x:v>
      </x:c>
      <x:c r="B369" s="40" t="str">
        <x:v>5F</x:v>
      </x:c>
      <x:c r="C369" s="40" t="str">
        <x:v>柱牆</x:v>
      </x:c>
      <x:c r="D369" s="40" t="str">
        <x:v>牆 副 筋</x:v>
      </x:c>
      <x:c r="E369" s="41" t="n">
        <x:v>12</x:v>
      </x:c>
      <x:c r="F369" s="40" t="str">
        <x:v>右欄</x:v>
      </x:c>
      <x:c r="G369" s="38" t="n">
        <x:v>3</x:v>
      </x:c>
      <x:c r="H369" s="37" t="n">
        <x:v>300</x:v>
      </x:c>
      <x:c r="I369" s="37" t="n">
        <x:v>16</x:v>
      </x:c>
      <x:c r="J369" s="37"/>
      <x:c r="K369" s="36" t="n">
        <x:v>285</x:v>
      </x:c>
      <x:c r="L369" s="37" t="n">
        <x:v>15</x:v>
      </x:c>
      <x:c r="M369" s="42" t="n">
        <x:f>IF(G369="","",INDEX('規格與範圍'!$B$14:$B$23,MATCH(G369,'規格與範圍'!$A$14:$A$23,0)))</x:f>
        <x:v>0.559</x:v>
      </x:c>
      <x:c r="N369" s="42" t="n">
        <x:f>IF(OR(H369="",I369="",M369=""),"",H369*I369*M369/100)</x:f>
        <x:v>26.832000000000004</x:v>
      </x:c>
      <x:c r="O369" s="36" t="str">
        <x:v>友愛街 3F梁版往上 鋼筋料單 114.08.28.XLS｜工作表 06｜原列 12｜右欄</x:v>
      </x:c>
    </x:row>
    <x:row r="370" ht="15" hidden="0" customHeight="1">
      <x:c r="A370" s="40" t="str">
        <x:v>06</x:v>
      </x:c>
      <x:c r="B370" s="40" t="str">
        <x:v>5F</x:v>
      </x:c>
      <x:c r="C370" s="40" t="str">
        <x:v>柱牆</x:v>
      </x:c>
      <x:c r="D370" s="40" t="str">
        <x:v>牆 副 筋</x:v>
      </x:c>
      <x:c r="E370" s="41" t="n">
        <x:v>13</x:v>
      </x:c>
      <x:c r="F370" s="40" t="str">
        <x:v>右欄</x:v>
      </x:c>
      <x:c r="G370" s="38" t="n">
        <x:v>3</x:v>
      </x:c>
      <x:c r="H370" s="37" t="n">
        <x:v>150</x:v>
      </x:c>
      <x:c r="I370" s="37" t="n">
        <x:v>30</x:v>
      </x:c>
      <x:c r="J370" s="37"/>
      <x:c r="K370" s="36" t="n">
        <x:v>135</x:v>
      </x:c>
      <x:c r="L370" s="37" t="n">
        <x:v>15</x:v>
      </x:c>
      <x:c r="M370" s="42" t="n">
        <x:f>IF(G370="","",INDEX('規格與範圍'!$B$14:$B$23,MATCH(G370,'規格與範圍'!$A$14:$A$23,0)))</x:f>
        <x:v>0.559</x:v>
      </x:c>
      <x:c r="N370" s="42" t="n">
        <x:f>IF(OR(H370="",I370="",M370=""),"",H370*I370*M370/100)</x:f>
        <x:v>25.155000000000005</x:v>
      </x:c>
      <x:c r="O370" s="36" t="str">
        <x:v>友愛街 3F梁版往上 鋼筋料單 114.08.28.XLS｜工作表 06｜原列 13｜右欄</x:v>
      </x:c>
    </x:row>
    <x:row r="371" ht="15" hidden="0" customHeight="1">
      <x:c r="A371" s="40" t="str">
        <x:v>06</x:v>
      </x:c>
      <x:c r="B371" s="40" t="str">
        <x:v>5F</x:v>
      </x:c>
      <x:c r="C371" s="40" t="str">
        <x:v>柱牆</x:v>
      </x:c>
      <x:c r="D371" s="40" t="str">
        <x:v>牆 副 筋</x:v>
      </x:c>
      <x:c r="E371" s="41" t="n">
        <x:v>14</x:v>
      </x:c>
      <x:c r="F371" s="40" t="str">
        <x:v>右欄</x:v>
      </x:c>
      <x:c r="G371" s="38" t="n">
        <x:v>3</x:v>
      </x:c>
      <x:c r="H371" s="37" t="n">
        <x:v>200</x:v>
      </x:c>
      <x:c r="I371" s="37" t="n">
        <x:v>232</x:v>
      </x:c>
      <x:c r="J371" s="37"/>
      <x:c r="K371" s="36" t="n">
        <x:v>120</x:v>
      </x:c>
      <x:c r="L371" s="37" t="n">
        <x:v>80</x:v>
      </x:c>
      <x:c r="M371" s="42" t="n">
        <x:f>IF(G371="","",INDEX('規格與範圍'!$B$14:$B$23,MATCH(G371,'規格與範圍'!$A$14:$A$23,0)))</x:f>
        <x:v>0.559</x:v>
      </x:c>
      <x:c r="N371" s="42" t="n">
        <x:f>IF(OR(H371="",I371="",M371=""),"",H371*I371*M371/100)</x:f>
        <x:v>259.37600000000003</x:v>
      </x:c>
      <x:c r="O371" s="36" t="str">
        <x:v>友愛街 3F梁版往上 鋼筋料單 114.08.28.XLS｜工作表 06｜原列 14｜右欄</x:v>
      </x:c>
    </x:row>
    <x:row r="372" ht="15" hidden="0" customHeight="1">
      <x:c r="A372" s="40" t="str">
        <x:v>06</x:v>
      </x:c>
      <x:c r="B372" s="40" t="str">
        <x:v>5F</x:v>
      </x:c>
      <x:c r="C372" s="40" t="str">
        <x:v>柱牆</x:v>
      </x:c>
      <x:c r="D372" s="40" t="str">
        <x:v>牆 副 筋</x:v>
      </x:c>
      <x:c r="E372" s="41" t="n">
        <x:v>15</x:v>
      </x:c>
      <x:c r="F372" s="40" t="str">
        <x:v>右欄</x:v>
      </x:c>
      <x:c r="G372" s="38" t="n">
        <x:v>3</x:v>
      </x:c>
      <x:c r="H372" s="37" t="n">
        <x:v>500</x:v>
      </x:c>
      <x:c r="I372" s="37" t="n">
        <x:v>78</x:v>
      </x:c>
      <x:c r="J372" s="37"/>
      <x:c r="K372" s="36" t="n">
        <x:v>500</x:v>
      </x:c>
      <x:c r="L372" s="37"/>
      <x:c r="M372" s="42" t="n">
        <x:f>IF(G372="","",INDEX('規格與範圍'!$B$14:$B$23,MATCH(G372,'規格與範圍'!$A$14:$A$23,0)))</x:f>
        <x:v>0.559</x:v>
      </x:c>
      <x:c r="N372" s="42" t="n">
        <x:f>IF(OR(H372="",I372="",M372=""),"",H372*I372*M372/100)</x:f>
        <x:v>218.01000000000005</x:v>
      </x:c>
      <x:c r="O372" s="36" t="str">
        <x:v>友愛街 3F梁版往上 鋼筋料單 114.08.28.XLS｜工作表 06｜原列 15｜右欄</x:v>
      </x:c>
    </x:row>
    <x:row r="373" ht="15" hidden="0" customHeight="1">
      <x:c r="A373" s="40" t="str">
        <x:v>06</x:v>
      </x:c>
      <x:c r="B373" s="40" t="str">
        <x:v>5F</x:v>
      </x:c>
      <x:c r="C373" s="40" t="str">
        <x:v>柱牆</x:v>
      </x:c>
      <x:c r="D373" s="40" t="str">
        <x:v>牆 副 筋</x:v>
      </x:c>
      <x:c r="E373" s="41" t="n">
        <x:v>16</x:v>
      </x:c>
      <x:c r="F373" s="40" t="str">
        <x:v>右欄</x:v>
      </x:c>
      <x:c r="G373" s="38" t="n">
        <x:v>3</x:v>
      </x:c>
      <x:c r="H373" s="37" t="n">
        <x:v>400</x:v>
      </x:c>
      <x:c r="I373" s="37" t="n">
        <x:v>8</x:v>
      </x:c>
      <x:c r="J373" s="37"/>
      <x:c r="K373" s="36" t="n">
        <x:v>400</x:v>
      </x:c>
      <x:c r="L373" s="37"/>
      <x:c r="M373" s="42" t="n">
        <x:f>IF(G373="","",INDEX('規格與範圍'!$B$14:$B$23,MATCH(G373,'規格與範圍'!$A$14:$A$23,0)))</x:f>
        <x:v>0.559</x:v>
      </x:c>
      <x:c r="N373" s="42" t="n">
        <x:f>IF(OR(H373="",I373="",M373=""),"",H373*I373*M373/100)</x:f>
        <x:v>17.888</x:v>
      </x:c>
      <x:c r="O373" s="36" t="str">
        <x:v>友愛街 3F梁版往上 鋼筋料單 114.08.28.XLS｜工作表 06｜原列 16｜右欄</x:v>
      </x:c>
    </x:row>
    <x:row r="374" ht="15" hidden="0" customHeight="1">
      <x:c r="A374" s="40" t="str">
        <x:v>06</x:v>
      </x:c>
      <x:c r="B374" s="40" t="str">
        <x:v>5F</x:v>
      </x:c>
      <x:c r="C374" s="40" t="str">
        <x:v>柱牆</x:v>
      </x:c>
      <x:c r="D374" s="40" t="str">
        <x:v>牆 副 筋</x:v>
      </x:c>
      <x:c r="E374" s="41" t="n">
        <x:v>17</x:v>
      </x:c>
      <x:c r="F374" s="40" t="str">
        <x:v>右欄</x:v>
      </x:c>
      <x:c r="G374" s="38" t="n">
        <x:v>3</x:v>
      </x:c>
      <x:c r="H374" s="37" t="n">
        <x:v>375</x:v>
      </x:c>
      <x:c r="I374" s="37" t="n">
        <x:v>50</x:v>
      </x:c>
      <x:c r="J374" s="37"/>
      <x:c r="K374" s="36" t="n">
        <x:v>375</x:v>
      </x:c>
      <x:c r="L374" s="37"/>
      <x:c r="M374" s="42" t="n">
        <x:f>IF(G374="","",INDEX('規格與範圍'!$B$14:$B$23,MATCH(G374,'規格與範圍'!$A$14:$A$23,0)))</x:f>
        <x:v>0.559</x:v>
      </x:c>
      <x:c r="N374" s="42" t="n">
        <x:f>IF(OR(H374="",I374="",M374=""),"",H374*I374*M374/100)</x:f>
        <x:v>104.81250000000001</x:v>
      </x:c>
      <x:c r="O374" s="36" t="str">
        <x:v>友愛街 3F梁版往上 鋼筋料單 114.08.28.XLS｜工作表 06｜原列 17｜右欄</x:v>
      </x:c>
    </x:row>
    <x:row r="375" ht="15" hidden="0" customHeight="1">
      <x:c r="A375" s="40" t="str">
        <x:v>06</x:v>
      </x:c>
      <x:c r="B375" s="40" t="str">
        <x:v>5F</x:v>
      </x:c>
      <x:c r="C375" s="40" t="str">
        <x:v>柱牆</x:v>
      </x:c>
      <x:c r="D375" s="40" t="str">
        <x:v>牆 副 筋</x:v>
      </x:c>
      <x:c r="E375" s="41" t="n">
        <x:v>18</x:v>
      </x:c>
      <x:c r="F375" s="40" t="str">
        <x:v>右欄</x:v>
      </x:c>
      <x:c r="G375" s="38" t="n">
        <x:v>3</x:v>
      </x:c>
      <x:c r="H375" s="37" t="n">
        <x:v>350</x:v>
      </x:c>
      <x:c r="I375" s="37" t="n">
        <x:v>118</x:v>
      </x:c>
      <x:c r="J375" s="37"/>
      <x:c r="K375" s="36" t="n">
        <x:v>350</x:v>
      </x:c>
      <x:c r="L375" s="37"/>
      <x:c r="M375" s="42" t="n">
        <x:f>IF(G375="","",INDEX('規格與範圍'!$B$14:$B$23,MATCH(G375,'規格與範圍'!$A$14:$A$23,0)))</x:f>
        <x:v>0.559</x:v>
      </x:c>
      <x:c r="N375" s="42" t="n">
        <x:f>IF(OR(H375="",I375="",M375=""),"",H375*I375*M375/100)</x:f>
        <x:v>230.86700000000002</x:v>
      </x:c>
      <x:c r="O375" s="36" t="str">
        <x:v>友愛街 3F梁版往上 鋼筋料單 114.08.28.XLS｜工作表 06｜原列 18｜右欄</x:v>
      </x:c>
    </x:row>
    <x:row r="376" ht="15" hidden="0" customHeight="1">
      <x:c r="A376" s="40" t="str">
        <x:v>06</x:v>
      </x:c>
      <x:c r="B376" s="40" t="str">
        <x:v>5F</x:v>
      </x:c>
      <x:c r="C376" s="40" t="str">
        <x:v>柱牆</x:v>
      </x:c>
      <x:c r="D376" s="40" t="str">
        <x:v>牆 副 筋</x:v>
      </x:c>
      <x:c r="E376" s="41" t="n">
        <x:v>19</x:v>
      </x:c>
      <x:c r="F376" s="40" t="str">
        <x:v>右欄</x:v>
      </x:c>
      <x:c r="G376" s="38" t="n">
        <x:v>3</x:v>
      </x:c>
      <x:c r="H376" s="37" t="n">
        <x:v>300</x:v>
      </x:c>
      <x:c r="I376" s="37" t="n">
        <x:v>16</x:v>
      </x:c>
      <x:c r="J376" s="37"/>
      <x:c r="K376" s="36" t="n">
        <x:v>300</x:v>
      </x:c>
      <x:c r="L376" s="37"/>
      <x:c r="M376" s="42" t="n">
        <x:f>IF(G376="","",INDEX('規格與範圍'!$B$14:$B$23,MATCH(G376,'規格與範圍'!$A$14:$A$23,0)))</x:f>
        <x:v>0.559</x:v>
      </x:c>
      <x:c r="N376" s="42" t="n">
        <x:f>IF(OR(H376="",I376="",M376=""),"",H376*I376*M376/100)</x:f>
        <x:v>26.832000000000004</x:v>
      </x:c>
      <x:c r="O376" s="36" t="str">
        <x:v>友愛街 3F梁版往上 鋼筋料單 114.08.28.XLS｜工作表 06｜原列 19｜右欄</x:v>
      </x:c>
    </x:row>
    <x:row r="377" ht="15" hidden="0" customHeight="1">
      <x:c r="A377" s="40" t="str">
        <x:v>06</x:v>
      </x:c>
      <x:c r="B377" s="40" t="str">
        <x:v>5F</x:v>
      </x:c>
      <x:c r="C377" s="40" t="str">
        <x:v>柱牆</x:v>
      </x:c>
      <x:c r="D377" s="40" t="str">
        <x:v>牆 副 筋</x:v>
      </x:c>
      <x:c r="E377" s="41" t="n">
        <x:v>20</x:v>
      </x:c>
      <x:c r="F377" s="40" t="str">
        <x:v>右欄</x:v>
      </x:c>
      <x:c r="G377" s="38" t="n">
        <x:v>3</x:v>
      </x:c>
      <x:c r="H377" s="37" t="n">
        <x:v>260</x:v>
      </x:c>
      <x:c r="I377" s="37" t="n">
        <x:v>62</x:v>
      </x:c>
      <x:c r="J377" s="37"/>
      <x:c r="K377" s="36" t="n">
        <x:v>260</x:v>
      </x:c>
      <x:c r="L377" s="37"/>
      <x:c r="M377" s="42" t="n">
        <x:f>IF(G377="","",INDEX('規格與範圍'!$B$14:$B$23,MATCH(G377,'規格與範圍'!$A$14:$A$23,0)))</x:f>
        <x:v>0.559</x:v>
      </x:c>
      <x:c r="N377" s="42" t="n">
        <x:f>IF(OR(H377="",I377="",M377=""),"",H377*I377*M377/100)</x:f>
        <x:v>90.11080000000001</x:v>
      </x:c>
      <x:c r="O377" s="36" t="str">
        <x:v>友愛街 3F梁版往上 鋼筋料單 114.08.28.XLS｜工作表 06｜原列 20｜右欄</x:v>
      </x:c>
    </x:row>
    <x:row r="378" ht="15" hidden="0" customHeight="1">
      <x:c r="A378" s="40" t="str">
        <x:v>06</x:v>
      </x:c>
      <x:c r="B378" s="40" t="str">
        <x:v>5F</x:v>
      </x:c>
      <x:c r="C378" s="40" t="str">
        <x:v>柱牆</x:v>
      </x:c>
      <x:c r="D378" s="40" t="str">
        <x:v>牆 副 筋</x:v>
      </x:c>
      <x:c r="E378" s="41" t="n">
        <x:v>21</x:v>
      </x:c>
      <x:c r="F378" s="40" t="str">
        <x:v>右欄</x:v>
      </x:c>
      <x:c r="G378" s="38" t="n">
        <x:v>3</x:v>
      </x:c>
      <x:c r="H378" s="37" t="n">
        <x:v>200</x:v>
      </x:c>
      <x:c r="I378" s="37" t="n">
        <x:v>72</x:v>
      </x:c>
      <x:c r="J378" s="37"/>
      <x:c r="K378" s="36" t="n">
        <x:v>200</x:v>
      </x:c>
      <x:c r="L378" s="37"/>
      <x:c r="M378" s="42" t="n">
        <x:f>IF(G378="","",INDEX('規格與範圍'!$B$14:$B$23,MATCH(G378,'規格與範圍'!$A$14:$A$23,0)))</x:f>
        <x:v>0.559</x:v>
      </x:c>
      <x:c r="N378" s="42" t="n">
        <x:f>IF(OR(H378="",I378="",M378=""),"",H378*I378*M378/100)</x:f>
        <x:v>80.49600000000001</x:v>
      </x:c>
      <x:c r="O378" s="36" t="str">
        <x:v>友愛街 3F梁版往上 鋼筋料單 114.08.28.XLS｜工作表 06｜原列 21｜右欄</x:v>
      </x:c>
    </x:row>
    <x:row r="379" ht="15" hidden="0" customHeight="1">
      <x:c r="A379" s="40" t="str">
        <x:v>06</x:v>
      </x:c>
      <x:c r="B379" s="40" t="str">
        <x:v>5F</x:v>
      </x:c>
      <x:c r="C379" s="40" t="str">
        <x:v>柱牆</x:v>
      </x:c>
      <x:c r="D379" s="40" t="str">
        <x:v>牆 副 筋</x:v>
      </x:c>
      <x:c r="E379" s="41" t="n">
        <x:v>22</x:v>
      </x:c>
      <x:c r="F379" s="40" t="str">
        <x:v>右欄</x:v>
      </x:c>
      <x:c r="G379" s="38" t="n">
        <x:v>3</x:v>
      </x:c>
      <x:c r="H379" s="37" t="n">
        <x:v>175</x:v>
      </x:c>
      <x:c r="I379" s="37" t="n">
        <x:v>46</x:v>
      </x:c>
      <x:c r="J379" s="37"/>
      <x:c r="K379" s="36" t="n">
        <x:v>175</x:v>
      </x:c>
      <x:c r="L379" s="37"/>
      <x:c r="M379" s="42" t="n">
        <x:f>IF(G379="","",INDEX('規格與範圍'!$B$14:$B$23,MATCH(G379,'規格與範圍'!$A$14:$A$23,0)))</x:f>
        <x:v>0.559</x:v>
      </x:c>
      <x:c r="N379" s="42" t="n">
        <x:f>IF(OR(H379="",I379="",M379=""),"",H379*I379*M379/100)</x:f>
        <x:v>44.999500000000005</x:v>
      </x:c>
      <x:c r="O379" s="36" t="str">
        <x:v>友愛街 3F梁版往上 鋼筋料單 114.08.28.XLS｜工作表 06｜原列 22｜右欄</x:v>
      </x:c>
    </x:row>
    <x:row r="380" ht="15" hidden="0" customHeight="1">
      <x:c r="A380" s="40" t="str">
        <x:v>06</x:v>
      </x:c>
      <x:c r="B380" s="40" t="str">
        <x:v>5F</x:v>
      </x:c>
      <x:c r="C380" s="40" t="str">
        <x:v>柱牆</x:v>
      </x:c>
      <x:c r="D380" s="40" t="str">
        <x:v>牆 副 筋</x:v>
      </x:c>
      <x:c r="E380" s="41" t="n">
        <x:v>23</x:v>
      </x:c>
      <x:c r="F380" s="40" t="str">
        <x:v>右欄</x:v>
      </x:c>
      <x:c r="G380" s="38" t="n">
        <x:v>3</x:v>
      </x:c>
      <x:c r="H380" s="37" t="n">
        <x:v>135</x:v>
      </x:c>
      <x:c r="I380" s="37" t="n">
        <x:v>62</x:v>
      </x:c>
      <x:c r="J380" s="37"/>
      <x:c r="K380" s="36" t="n">
        <x:v>135</x:v>
      </x:c>
      <x:c r="L380" s="37"/>
      <x:c r="M380" s="42" t="n">
        <x:f>IF(G380="","",INDEX('規格與範圍'!$B$14:$B$23,MATCH(G380,'規格與範圍'!$A$14:$A$23,0)))</x:f>
        <x:v>0.559</x:v>
      </x:c>
      <x:c r="N380" s="42" t="n">
        <x:f>IF(OR(H380="",I380="",M380=""),"",H380*I380*M380/100)</x:f>
        <x:v>46.78830000000001</x:v>
      </x:c>
      <x:c r="O380" s="36" t="str">
        <x:v>友愛街 3F梁版往上 鋼筋料單 114.08.28.XLS｜工作表 06｜原列 23｜右欄</x:v>
      </x:c>
    </x:row>
    <x:row r="381" ht="15" hidden="0" customHeight="1">
      <x:c r="A381" s="40" t="str">
        <x:v>06</x:v>
      </x:c>
      <x:c r="B381" s="40" t="str">
        <x:v>5F</x:v>
      </x:c>
      <x:c r="C381" s="40" t="str">
        <x:v>柱牆</x:v>
      </x:c>
      <x:c r="D381" s="40" t="str">
        <x:v>牆 副 筋</x:v>
      </x:c>
      <x:c r="E381" s="41" t="n">
        <x:v>24</x:v>
      </x:c>
      <x:c r="F381" s="40" t="str">
        <x:v>右欄</x:v>
      </x:c>
      <x:c r="G381" s="38" t="n">
        <x:v>3</x:v>
      </x:c>
      <x:c r="H381" s="37" t="n">
        <x:v>90</x:v>
      </x:c>
      <x:c r="I381" s="37" t="n">
        <x:v>24</x:v>
      </x:c>
      <x:c r="J381" s="37"/>
      <x:c r="K381" s="36" t="n">
        <x:v>90</x:v>
      </x:c>
      <x:c r="L381" s="37"/>
      <x:c r="M381" s="42" t="n">
        <x:f>IF(G381="","",INDEX('規格與範圍'!$B$14:$B$23,MATCH(G381,'規格與範圍'!$A$14:$A$23,0)))</x:f>
        <x:v>0.559</x:v>
      </x:c>
      <x:c r="N381" s="42" t="n">
        <x:f>IF(OR(H381="",I381="",M381=""),"",H381*I381*M381/100)</x:f>
        <x:v>12.0744</x:v>
      </x:c>
      <x:c r="O381" s="36" t="str">
        <x:v>友愛街 3F梁版往上 鋼筋料單 114.08.28.XLS｜工作表 06｜原列 24｜右欄</x:v>
      </x:c>
    </x:row>
    <x:row r="382" ht="15" hidden="0" customHeight="1">
      <x:c r="A382" s="40" t="str">
        <x:v>06</x:v>
      </x:c>
      <x:c r="B382" s="40" t="str">
        <x:v>5F</x:v>
      </x:c>
      <x:c r="C382" s="40" t="str">
        <x:v>柱牆</x:v>
      </x:c>
      <x:c r="D382" s="40" t="str">
        <x:v>牆 副 筋</x:v>
      </x:c>
      <x:c r="E382" s="41" t="n">
        <x:v>26</x:v>
      </x:c>
      <x:c r="F382" s="40" t="str">
        <x:v>右欄</x:v>
      </x:c>
      <x:c r="G382" s="38" t="n">
        <x:v>3</x:v>
      </x:c>
      <x:c r="H382" s="37" t="n">
        <x:v>150</x:v>
      </x:c>
      <x:c r="I382" s="37" t="n">
        <x:v>46</x:v>
      </x:c>
      <x:c r="J382" s="37" t="n">
        <x:v>70</x:v>
      </x:c>
      <x:c r="K382" s="36" t="n">
        <x:v>10</x:v>
      </x:c>
      <x:c r="L382" s="37" t="n">
        <x:v>70</x:v>
      </x:c>
      <x:c r="M382" s="42" t="n">
        <x:f>IF(G382="","",INDEX('規格與範圍'!$B$14:$B$23,MATCH(G382,'規格與範圍'!$A$14:$A$23,0)))</x:f>
        <x:v>0.559</x:v>
      </x:c>
      <x:c r="N382" s="42" t="n">
        <x:f>IF(OR(H382="",I382="",M382=""),"",H382*I382*M382/100)</x:f>
        <x:v>38.571000000000005</x:v>
      </x:c>
      <x:c r="O382" s="36" t="str">
        <x:v>友愛街 3F梁版往上 鋼筋料單 114.08.28.XLS｜工作表 06｜原列 26｜右欄</x:v>
      </x:c>
    </x:row>
    <x:row r="383" ht="15" hidden="0" customHeight="1">
      <x:c r="A383" s="40" t="str">
        <x:v>06</x:v>
      </x:c>
      <x:c r="B383" s="40" t="str">
        <x:v>5F</x:v>
      </x:c>
      <x:c r="C383" s="40" t="str">
        <x:v>柱牆</x:v>
      </x:c>
      <x:c r="D383" s="40" t="str">
        <x:v>擴 柱</x:v>
      </x:c>
      <x:c r="E383" s="41" t="n">
        <x:v>33</x:v>
      </x:c>
      <x:c r="F383" s="40" t="str">
        <x:v>右欄</x:v>
      </x:c>
      <x:c r="G383" s="38" t="n">
        <x:v>4</x:v>
      </x:c>
      <x:c r="H383" s="37" t="n">
        <x:v>100</x:v>
      </x:c>
      <x:c r="I383" s="37" t="n">
        <x:v>14</x:v>
      </x:c>
      <x:c r="J383" s="37" t="n">
        <x:v>20</x:v>
      </x:c>
      <x:c r="K383" s="36" t="n">
        <x:v>60</x:v>
      </x:c>
      <x:c r="L383" s="37" t="n">
        <x:v>20</x:v>
      </x:c>
      <x:c r="M383" s="42" t="n">
        <x:f>IF(G383="","",INDEX('規格與範圍'!$B$14:$B$23,MATCH(G383,'規格與範圍'!$A$14:$A$23,0)))</x:f>
        <x:v>0.994</x:v>
      </x:c>
      <x:c r="N383" s="42" t="n">
        <x:f>IF(OR(H383="",I383="",M383=""),"",H383*I383*M383/100)</x:f>
        <x:v>13.915999999999999</x:v>
      </x:c>
      <x:c r="O383" s="36" t="str">
        <x:v>友愛街 3F梁版往上 鋼筋料單 114.08.28.XLS｜工作表 06｜原列 33｜右欄</x:v>
      </x:c>
    </x:row>
    <x:row r="384" ht="15" hidden="0" customHeight="1">
      <x:c r="A384" s="40" t="str">
        <x:v>06</x:v>
      </x:c>
      <x:c r="B384" s="40" t="str">
        <x:v>5F</x:v>
      </x:c>
      <x:c r="C384" s="40" t="str">
        <x:v>柱牆</x:v>
      </x:c>
      <x:c r="D384" s="40" t="str">
        <x:v>擴 柱</x:v>
      </x:c>
      <x:c r="E384" s="41" t="n">
        <x:v>34</x:v>
      </x:c>
      <x:c r="F384" s="40" t="str">
        <x:v>右欄</x:v>
      </x:c>
      <x:c r="G384" s="38" t="n">
        <x:v>4</x:v>
      </x:c>
      <x:c r="H384" s="37" t="n">
        <x:v>80</x:v>
      </x:c>
      <x:c r="I384" s="37" t="n">
        <x:v>56</x:v>
      </x:c>
      <x:c r="J384" s="37" t="n">
        <x:v>20</x:v>
      </x:c>
      <x:c r="K384" s="36" t="n">
        <x:v>40</x:v>
      </x:c>
      <x:c r="L384" s="37" t="n">
        <x:v>20</x:v>
      </x:c>
      <x:c r="M384" s="42" t="n">
        <x:f>IF(G384="","",INDEX('規格與範圍'!$B$14:$B$23,MATCH(G384,'規格與範圍'!$A$14:$A$23,0)))</x:f>
        <x:v>0.994</x:v>
      </x:c>
      <x:c r="N384" s="42" t="n">
        <x:f>IF(OR(H384="",I384="",M384=""),"",H384*I384*M384/100)</x:f>
        <x:v>44.5312</x:v>
      </x:c>
      <x:c r="O384" s="36" t="str">
        <x:v>友愛街 3F梁版往上 鋼筋料單 114.08.28.XLS｜工作表 06｜原列 34｜右欄</x:v>
      </x:c>
    </x:row>
    <x:row r="385" ht="15" hidden="0" customHeight="1">
      <x:c r="A385" s="40" t="str">
        <x:v>06</x:v>
      </x:c>
      <x:c r="B385" s="40" t="str">
        <x:v>5F</x:v>
      </x:c>
      <x:c r="C385" s="40" t="str">
        <x:v>柱牆</x:v>
      </x:c>
      <x:c r="D385" s="40" t="str">
        <x:v>擴 柱</x:v>
      </x:c>
      <x:c r="E385" s="41" t="n">
        <x:v>36</x:v>
      </x:c>
      <x:c r="F385" s="40" t="str">
        <x:v>右欄</x:v>
      </x:c>
      <x:c r="G385" s="38" t="n">
        <x:v>4</x:v>
      </x:c>
      <x:c r="H385" s="37" t="n">
        <x:v>30</x:v>
      </x:c>
      <x:c r="I385" s="37" t="n">
        <x:v>54</x:v>
      </x:c>
      <x:c r="J385" s="37"/>
      <x:c r="K385" s="36" t="n">
        <x:v>30</x:v>
      </x:c>
      <x:c r="L385" s="37"/>
      <x:c r="M385" s="42" t="n">
        <x:f>IF(G385="","",INDEX('規格與範圍'!$B$14:$B$23,MATCH(G385,'規格與範圍'!$A$14:$A$23,0)))</x:f>
        <x:v>0.994</x:v>
      </x:c>
      <x:c r="N385" s="42" t="n">
        <x:f>IF(OR(H385="",I385="",M385=""),"",H385*I385*M385/100)</x:f>
        <x:v>16.1028</x:v>
      </x:c>
      <x:c r="O385" s="36" t="str">
        <x:v>友愛街 3F梁版往上 鋼筋料單 114.08.28.XLS｜工作表 06｜原列 36｜右欄</x:v>
      </x:c>
    </x:row>
    <x:row r="386" ht="15" hidden="0" customHeight="1">
      <x:c r="A386" s="40" t="str">
        <x:v>07</x:v>
      </x:c>
      <x:c r="B386" s="40" t="str">
        <x:v>RF</x:v>
      </x:c>
      <x:c r="C386" s="40" t="str">
        <x:v>梁版及以上</x:v>
      </x:c>
      <x:c r="D386" s="40" t="str">
        <x:v>樑 筋</x:v>
      </x:c>
      <x:c r="E386" s="41" t="n">
        <x:v>5</x:v>
      </x:c>
      <x:c r="F386" s="40" t="str">
        <x:v>左欄</x:v>
      </x:c>
      <x:c r="G386" s="38" t="n">
        <x:v>7</x:v>
      </x:c>
      <x:c r="H386" s="37" t="n">
        <x:v>750</x:v>
      </x:c>
      <x:c r="I386" s="37" t="n">
        <x:v>6</x:v>
      </x:c>
      <x:c r="J386" s="37" t="n">
        <x:v>35</x:v>
      </x:c>
      <x:c r="K386" s="36" t="n">
        <x:v>680</x:v>
      </x:c>
      <x:c r="L386" s="37" t="n">
        <x:v>35</x:v>
      </x:c>
      <x:c r="M386" s="42" t="n">
        <x:f>IF(G386="","",INDEX('規格與範圍'!$B$14:$B$23,MATCH(G386,'規格與範圍'!$A$14:$A$23,0)))</x:f>
        <x:v>3.05</x:v>
      </x:c>
      <x:c r="N386" s="42" t="n">
        <x:f>IF(OR(H386="",I386="",M386=""),"",H386*I386*M386/100)</x:f>
        <x:v>137.25</x:v>
      </x:c>
      <x:c r="O386" s="36" t="str">
        <x:v>友愛街 3F梁版往上 鋼筋料單 114.08.28.XLS｜工作表 07｜原列 5｜左欄</x:v>
      </x:c>
    </x:row>
    <x:row r="387" ht="15" hidden="0" customHeight="1">
      <x:c r="A387" s="40" t="str">
        <x:v>07</x:v>
      </x:c>
      <x:c r="B387" s="40" t="str">
        <x:v>RF</x:v>
      </x:c>
      <x:c r="C387" s="40" t="str">
        <x:v>梁版及以上</x:v>
      </x:c>
      <x:c r="D387" s="40" t="str">
        <x:v>樑 筋</x:v>
      </x:c>
      <x:c r="E387" s="41" t="n">
        <x:v>6</x:v>
      </x:c>
      <x:c r="F387" s="40" t="str">
        <x:v>左欄</x:v>
      </x:c>
      <x:c r="G387" s="38" t="n">
        <x:v>7</x:v>
      </x:c>
      <x:c r="H387" s="37" t="n">
        <x:v>750</x:v>
      </x:c>
      <x:c r="I387" s="37" t="n">
        <x:v>6</x:v>
      </x:c>
      <x:c r="J387" s="37" t="n">
        <x:v>0</x:v>
      </x:c>
      <x:c r="K387" s="36" t="n">
        <x:v>715</x:v>
      </x:c>
      <x:c r="L387" s="37" t="n">
        <x:v>35</x:v>
      </x:c>
      <x:c r="M387" s="42" t="n">
        <x:f>IF(G387="","",INDEX('規格與範圍'!$B$14:$B$23,MATCH(G387,'規格與範圍'!$A$14:$A$23,0)))</x:f>
        <x:v>3.05</x:v>
      </x:c>
      <x:c r="N387" s="42" t="n">
        <x:f>IF(OR(H387="",I387="",M387=""),"",H387*I387*M387/100)</x:f>
        <x:v>137.25</x:v>
      </x:c>
      <x:c r="O387" s="36" t="str">
        <x:v>友愛街 3F梁版往上 鋼筋料單 114.08.28.XLS｜工作表 07｜原列 6｜左欄</x:v>
      </x:c>
    </x:row>
    <x:row r="388" ht="15" hidden="0" customHeight="1">
      <x:c r="A388" s="40" t="str">
        <x:v>07</x:v>
      </x:c>
      <x:c r="B388" s="40" t="str">
        <x:v>RF</x:v>
      </x:c>
      <x:c r="C388" s="40" t="str">
        <x:v>梁版及以上</x:v>
      </x:c>
      <x:c r="D388" s="40" t="str">
        <x:v>樑 筋</x:v>
      </x:c>
      <x:c r="E388" s="41" t="n">
        <x:v>7</x:v>
      </x:c>
      <x:c r="F388" s="40" t="str">
        <x:v>左欄</x:v>
      </x:c>
      <x:c r="G388" s="38" t="n">
        <x:v>7</x:v>
      </x:c>
      <x:c r="H388" s="37" t="n">
        <x:v>600</x:v>
      </x:c>
      <x:c r="I388" s="37" t="n">
        <x:v>12</x:v>
      </x:c>
      <x:c r="J388" s="37" t="n">
        <x:v>0</x:v>
      </x:c>
      <x:c r="K388" s="36" t="n">
        <x:v>565</x:v>
      </x:c>
      <x:c r="L388" s="37" t="n">
        <x:v>35</x:v>
      </x:c>
      <x:c r="M388" s="42" t="n">
        <x:f>IF(G388="","",INDEX('規格與範圍'!$B$14:$B$23,MATCH(G388,'規格與範圍'!$A$14:$A$23,0)))</x:f>
        <x:v>3.05</x:v>
      </x:c>
      <x:c r="N388" s="42" t="n">
        <x:f>IF(OR(H388="",I388="",M388=""),"",H388*I388*M388/100)</x:f>
        <x:v>219.6</x:v>
      </x:c>
      <x:c r="O388" s="36" t="str">
        <x:v>友愛街 3F梁版往上 鋼筋料單 114.08.28.XLS｜工作表 07｜原列 7｜左欄</x:v>
      </x:c>
    </x:row>
    <x:row r="389" ht="15" hidden="0" customHeight="1">
      <x:c r="A389" s="40" t="str">
        <x:v>07</x:v>
      </x:c>
      <x:c r="B389" s="40" t="str">
        <x:v>RF</x:v>
      </x:c>
      <x:c r="C389" s="40" t="str">
        <x:v>梁版及以上</x:v>
      </x:c>
      <x:c r="D389" s="40" t="str">
        <x:v>樑 筋</x:v>
      </x:c>
      <x:c r="E389" s="41" t="n">
        <x:v>8</x:v>
      </x:c>
      <x:c r="F389" s="40" t="str">
        <x:v>左欄</x:v>
      </x:c>
      <x:c r="G389" s="38" t="n">
        <x:v>7</x:v>
      </x:c>
      <x:c r="H389" s="37" t="n">
        <x:v>550</x:v>
      </x:c>
      <x:c r="I389" s="37" t="n">
        <x:v>6</x:v>
      </x:c>
      <x:c r="J389" s="37" t="n">
        <x:v>0</x:v>
      </x:c>
      <x:c r="K389" s="36" t="n">
        <x:v>515</x:v>
      </x:c>
      <x:c r="L389" s="37" t="n">
        <x:v>35</x:v>
      </x:c>
      <x:c r="M389" s="42" t="n">
        <x:f>IF(G389="","",INDEX('規格與範圍'!$B$14:$B$23,MATCH(G389,'規格與範圍'!$A$14:$A$23,0)))</x:f>
        <x:v>3.05</x:v>
      </x:c>
      <x:c r="N389" s="42" t="n">
        <x:f>IF(OR(H389="",I389="",M389=""),"",H389*I389*M389/100)</x:f>
        <x:v>100.65</x:v>
      </x:c>
      <x:c r="O389" s="36" t="str">
        <x:v>友愛街 3F梁版往上 鋼筋料單 114.08.28.XLS｜工作表 07｜原列 8｜左欄</x:v>
      </x:c>
    </x:row>
    <x:row r="390" ht="15" hidden="0" customHeight="1">
      <x:c r="A390" s="40" t="str">
        <x:v>07</x:v>
      </x:c>
      <x:c r="B390" s="40" t="str">
        <x:v>RF</x:v>
      </x:c>
      <x:c r="C390" s="40" t="str">
        <x:v>梁版及以上</x:v>
      </x:c>
      <x:c r="D390" s="40" t="str">
        <x:v>樑 筋</x:v>
      </x:c>
      <x:c r="E390" s="41" t="n">
        <x:v>9</x:v>
      </x:c>
      <x:c r="F390" s="40" t="str">
        <x:v>左欄</x:v>
      </x:c>
      <x:c r="G390" s="38" t="n">
        <x:v>7</x:v>
      </x:c>
      <x:c r="H390" s="37" t="n">
        <x:v>400</x:v>
      </x:c>
      <x:c r="I390" s="37" t="n">
        <x:v>12</x:v>
      </x:c>
      <x:c r="J390" s="37" t="n">
        <x:v>0</x:v>
      </x:c>
      <x:c r="K390" s="36" t="n">
        <x:v>365</x:v>
      </x:c>
      <x:c r="L390" s="37" t="n">
        <x:v>35</x:v>
      </x:c>
      <x:c r="M390" s="42" t="n">
        <x:f>IF(G390="","",INDEX('規格與範圍'!$B$14:$B$23,MATCH(G390,'規格與範圍'!$A$14:$A$23,0)))</x:f>
        <x:v>3.05</x:v>
      </x:c>
      <x:c r="N390" s="42" t="n">
        <x:f>IF(OR(H390="",I390="",M390=""),"",H390*I390*M390/100)</x:f>
        <x:v>146.4</x:v>
      </x:c>
      <x:c r="O390" s="36" t="str">
        <x:v>友愛街 3F梁版往上 鋼筋料單 114.08.28.XLS｜工作表 07｜原列 9｜左欄</x:v>
      </x:c>
    </x:row>
    <x:row r="391" ht="15" hidden="0" customHeight="1">
      <x:c r="A391" s="40" t="str">
        <x:v>07</x:v>
      </x:c>
      <x:c r="B391" s="40" t="str">
        <x:v>RF</x:v>
      </x:c>
      <x:c r="C391" s="40" t="str">
        <x:v>梁版及以上</x:v>
      </x:c>
      <x:c r="D391" s="40" t="str">
        <x:v>樑 筋</x:v>
      </x:c>
      <x:c r="E391" s="41" t="n">
        <x:v>10</x:v>
      </x:c>
      <x:c r="F391" s="40" t="str">
        <x:v>左欄</x:v>
      </x:c>
      <x:c r="G391" s="38" t="n">
        <x:v>7</x:v>
      </x:c>
      <x:c r="H391" s="37" t="n">
        <x:v>350</x:v>
      </x:c>
      <x:c r="I391" s="37" t="n">
        <x:v>12</x:v>
      </x:c>
      <x:c r="J391" s="37" t="n">
        <x:v>0</x:v>
      </x:c>
      <x:c r="K391" s="36" t="n">
        <x:v>315</x:v>
      </x:c>
      <x:c r="L391" s="37" t="n">
        <x:v>35</x:v>
      </x:c>
      <x:c r="M391" s="42" t="n">
        <x:f>IF(G391="","",INDEX('規格與範圍'!$B$14:$B$23,MATCH(G391,'規格與範圍'!$A$14:$A$23,0)))</x:f>
        <x:v>3.05</x:v>
      </x:c>
      <x:c r="N391" s="42" t="n">
        <x:f>IF(OR(H391="",I391="",M391=""),"",H391*I391*M391/100)</x:f>
        <x:v>128.1</x:v>
      </x:c>
      <x:c r="O391" s="36" t="str">
        <x:v>友愛街 3F梁版往上 鋼筋料單 114.08.28.XLS｜工作表 07｜原列 10｜左欄</x:v>
      </x:c>
    </x:row>
    <x:row r="392" ht="15" hidden="0" customHeight="1">
      <x:c r="A392" s="40" t="str">
        <x:v>07</x:v>
      </x:c>
      <x:c r="B392" s="40" t="str">
        <x:v>RF</x:v>
      </x:c>
      <x:c r="C392" s="40" t="str">
        <x:v>梁版及以上</x:v>
      </x:c>
      <x:c r="D392" s="40" t="str">
        <x:v>樑 筋</x:v>
      </x:c>
      <x:c r="E392" s="41" t="n">
        <x:v>11</x:v>
      </x:c>
      <x:c r="F392" s="40" t="str">
        <x:v>左欄</x:v>
      </x:c>
      <x:c r="G392" s="38" t="n">
        <x:v>7</x:v>
      </x:c>
      <x:c r="H392" s="37" t="n">
        <x:v>300</x:v>
      </x:c>
      <x:c r="I392" s="37" t="n">
        <x:v>4</x:v>
      </x:c>
      <x:c r="J392" s="37" t="n">
        <x:v>0</x:v>
      </x:c>
      <x:c r="K392" s="36" t="n">
        <x:v>265</x:v>
      </x:c>
      <x:c r="L392" s="37" t="n">
        <x:v>35</x:v>
      </x:c>
      <x:c r="M392" s="42" t="n">
        <x:f>IF(G392="","",INDEX('規格與範圍'!$B$14:$B$23,MATCH(G392,'規格與範圍'!$A$14:$A$23,0)))</x:f>
        <x:v>3.05</x:v>
      </x:c>
      <x:c r="N392" s="42" t="n">
        <x:f>IF(OR(H392="",I392="",M392=""),"",H392*I392*M392/100)</x:f>
        <x:v>36.6</x:v>
      </x:c>
      <x:c r="O392" s="36" t="str">
        <x:v>友愛街 3F梁版往上 鋼筋料單 114.08.28.XLS｜工作表 07｜原列 11｜左欄</x:v>
      </x:c>
    </x:row>
    <x:row r="393" ht="15" hidden="0" customHeight="1">
      <x:c r="A393" s="40" t="str">
        <x:v>07</x:v>
      </x:c>
      <x:c r="B393" s="40" t="str">
        <x:v>RF</x:v>
      </x:c>
      <x:c r="C393" s="40" t="str">
        <x:v>梁版及以上</x:v>
      </x:c>
      <x:c r="D393" s="40" t="str">
        <x:v>樑 筋</x:v>
      </x:c>
      <x:c r="E393" s="41" t="n">
        <x:v>12</x:v>
      </x:c>
      <x:c r="F393" s="40" t="str">
        <x:v>左欄</x:v>
      </x:c>
      <x:c r="G393" s="38" t="n">
        <x:v>7</x:v>
      </x:c>
      <x:c r="H393" s="37" t="n">
        <x:v>600</x:v>
      </x:c>
      <x:c r="I393" s="37" t="n">
        <x:v>3</x:v>
      </x:c>
      <x:c r="J393" s="37" t="n">
        <x:v>0</x:v>
      </x:c>
      <x:c r="K393" s="36" t="n">
        <x:v>600</x:v>
      </x:c>
      <x:c r="L393" s="37" t="n">
        <x:v>0</x:v>
      </x:c>
      <x:c r="M393" s="42" t="n">
        <x:f>IF(G393="","",INDEX('規格與範圍'!$B$14:$B$23,MATCH(G393,'規格與範圍'!$A$14:$A$23,0)))</x:f>
        <x:v>3.05</x:v>
      </x:c>
      <x:c r="N393" s="42" t="n">
        <x:f>IF(OR(H393="",I393="",M393=""),"",H393*I393*M393/100)</x:f>
        <x:v>54.9</x:v>
      </x:c>
      <x:c r="O393" s="36" t="str">
        <x:v>友愛街 3F梁版往上 鋼筋料單 114.08.28.XLS｜工作表 07｜原列 12｜左欄</x:v>
      </x:c>
    </x:row>
    <x:row r="394" ht="15" hidden="0" customHeight="1">
      <x:c r="A394" s="40" t="str">
        <x:v>07</x:v>
      </x:c>
      <x:c r="B394" s="40" t="str">
        <x:v>RF</x:v>
      </x:c>
      <x:c r="C394" s="40" t="str">
        <x:v>梁版及以上</x:v>
      </x:c>
      <x:c r="D394" s="40" t="str">
        <x:v>樑 筋</x:v>
      </x:c>
      <x:c r="E394" s="41" t="n">
        <x:v>14</x:v>
      </x:c>
      <x:c r="F394" s="40" t="str">
        <x:v>左欄</x:v>
      </x:c>
      <x:c r="G394" s="38" t="n">
        <x:v>6</x:v>
      </x:c>
      <x:c r="H394" s="37" t="n">
        <x:v>720</x:v>
      </x:c>
      <x:c r="I394" s="37" t="n">
        <x:v>3</x:v>
      </x:c>
      <x:c r="J394" s="37" t="n">
        <x:v>30</x:v>
      </x:c>
      <x:c r="K394" s="36" t="n">
        <x:v>660</x:v>
      </x:c>
      <x:c r="L394" s="37" t="n">
        <x:v>30</x:v>
      </x:c>
      <x:c r="M394" s="42" t="n">
        <x:f>IF(G394="","",INDEX('規格與範圍'!$B$14:$B$23,MATCH(G394,'規格與範圍'!$A$14:$A$23,0)))</x:f>
        <x:v>2.25</x:v>
      </x:c>
      <x:c r="N394" s="42" t="n">
        <x:f>IF(OR(H394="",I394="",M394=""),"",H394*I394*M394/100)</x:f>
        <x:v>48.6</x:v>
      </x:c>
      <x:c r="O394" s="36" t="str">
        <x:v>友愛街 3F梁版往上 鋼筋料單 114.08.28.XLS｜工作表 07｜原列 14｜左欄</x:v>
      </x:c>
    </x:row>
    <x:row r="395" ht="15" hidden="0" customHeight="1">
      <x:c r="A395" s="40" t="str">
        <x:v>07</x:v>
      </x:c>
      <x:c r="B395" s="40" t="str">
        <x:v>RF</x:v>
      </x:c>
      <x:c r="C395" s="40" t="str">
        <x:v>梁版及以上</x:v>
      </x:c>
      <x:c r="D395" s="40" t="str">
        <x:v>樑 筋</x:v>
      </x:c>
      <x:c r="E395" s="41" t="n">
        <x:v>15</x:v>
      </x:c>
      <x:c r="F395" s="40" t="str">
        <x:v>左欄</x:v>
      </x:c>
      <x:c r="G395" s="38" t="n">
        <x:v>6</x:v>
      </x:c>
      <x:c r="H395" s="37" t="n">
        <x:v>680</x:v>
      </x:c>
      <x:c r="I395" s="37" t="n">
        <x:v>3</x:v>
      </x:c>
      <x:c r="J395" s="37" t="n">
        <x:v>30</x:v>
      </x:c>
      <x:c r="K395" s="36" t="n">
        <x:v>620</x:v>
      </x:c>
      <x:c r="L395" s="37" t="n">
        <x:v>30</x:v>
      </x:c>
      <x:c r="M395" s="42" t="n">
        <x:f>IF(G395="","",INDEX('規格與範圍'!$B$14:$B$23,MATCH(G395,'規格與範圍'!$A$14:$A$23,0)))</x:f>
        <x:v>2.25</x:v>
      </x:c>
      <x:c r="N395" s="42" t="n">
        <x:f>IF(OR(H395="",I395="",M395=""),"",H395*I395*M395/100)</x:f>
        <x:v>45.9</x:v>
      </x:c>
      <x:c r="O395" s="36" t="str">
        <x:v>友愛街 3F梁版往上 鋼筋料單 114.08.28.XLS｜工作表 07｜原列 15｜左欄</x:v>
      </x:c>
    </x:row>
    <x:row r="396" ht="15" hidden="0" customHeight="1">
      <x:c r="A396" s="40" t="str">
        <x:v>07</x:v>
      </x:c>
      <x:c r="B396" s="40" t="str">
        <x:v>RF</x:v>
      </x:c>
      <x:c r="C396" s="40" t="str">
        <x:v>梁版及以上</x:v>
      </x:c>
      <x:c r="D396" s="40" t="str">
        <x:v>樑 筋</x:v>
      </x:c>
      <x:c r="E396" s="41" t="n">
        <x:v>16</x:v>
      </x:c>
      <x:c r="F396" s="40" t="str">
        <x:v>左欄</x:v>
      </x:c>
      <x:c r="G396" s="38" t="n">
        <x:v>6</x:v>
      </x:c>
      <x:c r="H396" s="37" t="n">
        <x:v>610</x:v>
      </x:c>
      <x:c r="I396" s="37" t="n">
        <x:v>6</x:v>
      </x:c>
      <x:c r="J396" s="37" t="n">
        <x:v>30</x:v>
      </x:c>
      <x:c r="K396" s="36" t="n">
        <x:v>550</x:v>
      </x:c>
      <x:c r="L396" s="37" t="n">
        <x:v>30</x:v>
      </x:c>
      <x:c r="M396" s="42" t="n">
        <x:f>IF(G396="","",INDEX('規格與範圍'!$B$14:$B$23,MATCH(G396,'規格與範圍'!$A$14:$A$23,0)))</x:f>
        <x:v>2.25</x:v>
      </x:c>
      <x:c r="N396" s="42" t="n">
        <x:f>IF(OR(H396="",I396="",M396=""),"",H396*I396*M396/100)</x:f>
        <x:v>82.35</x:v>
      </x:c>
      <x:c r="O396" s="36" t="str">
        <x:v>友愛街 3F梁版往上 鋼筋料單 114.08.28.XLS｜工作表 07｜原列 16｜左欄</x:v>
      </x:c>
    </x:row>
    <x:row r="397" ht="15" hidden="0" customHeight="1">
      <x:c r="A397" s="40" t="str">
        <x:v>07</x:v>
      </x:c>
      <x:c r="B397" s="40" t="str">
        <x:v>RF</x:v>
      </x:c>
      <x:c r="C397" s="40" t="str">
        <x:v>梁版及以上</x:v>
      </x:c>
      <x:c r="D397" s="40" t="str">
        <x:v>樑 筋</x:v>
      </x:c>
      <x:c r="E397" s="41" t="n">
        <x:v>17</x:v>
      </x:c>
      <x:c r="F397" s="40" t="str">
        <x:v>左欄</x:v>
      </x:c>
      <x:c r="G397" s="38" t="n">
        <x:v>6</x:v>
      </x:c>
      <x:c r="H397" s="37" t="n">
        <x:v>320</x:v>
      </x:c>
      <x:c r="I397" s="37" t="n">
        <x:v>2</x:v>
      </x:c>
      <x:c r="J397" s="37" t="n">
        <x:v>30</x:v>
      </x:c>
      <x:c r="K397" s="36" t="n">
        <x:v>260</x:v>
      </x:c>
      <x:c r="L397" s="37" t="n">
        <x:v>30</x:v>
      </x:c>
      <x:c r="M397" s="42" t="n">
        <x:f>IF(G397="","",INDEX('規格與範圍'!$B$14:$B$23,MATCH(G397,'規格與範圍'!$A$14:$A$23,0)))</x:f>
        <x:v>2.25</x:v>
      </x:c>
      <x:c r="N397" s="42" t="n">
        <x:f>IF(OR(H397="",I397="",M397=""),"",H397*I397*M397/100)</x:f>
        <x:v>14.4</x:v>
      </x:c>
      <x:c r="O397" s="36" t="str">
        <x:v>友愛街 3F梁版往上 鋼筋料單 114.08.28.XLS｜工作表 07｜原列 17｜左欄</x:v>
      </x:c>
    </x:row>
    <x:row r="398" ht="15" hidden="0" customHeight="1">
      <x:c r="A398" s="40" t="str">
        <x:v>07</x:v>
      </x:c>
      <x:c r="B398" s="40" t="str">
        <x:v>RF</x:v>
      </x:c>
      <x:c r="C398" s="40" t="str">
        <x:v>梁版及以上</x:v>
      </x:c>
      <x:c r="D398" s="40" t="str">
        <x:v>樑 筋</x:v>
      </x:c>
      <x:c r="E398" s="41" t="n">
        <x:v>18</x:v>
      </x:c>
      <x:c r="F398" s="40" t="str">
        <x:v>左欄</x:v>
      </x:c>
      <x:c r="G398" s="38" t="n">
        <x:v>6</x:v>
      </x:c>
      <x:c r="H398" s="37" t="n">
        <x:v>550</x:v>
      </x:c>
      <x:c r="I398" s="37" t="n">
        <x:v>4</x:v>
      </x:c>
      <x:c r="J398" s="37" t="n">
        <x:v>0</x:v>
      </x:c>
      <x:c r="K398" s="36" t="n">
        <x:v>520</x:v>
      </x:c>
      <x:c r="L398" s="37" t="n">
        <x:v>30</x:v>
      </x:c>
      <x:c r="M398" s="42" t="n">
        <x:f>IF(G398="","",INDEX('規格與範圍'!$B$14:$B$23,MATCH(G398,'規格與範圍'!$A$14:$A$23,0)))</x:f>
        <x:v>2.25</x:v>
      </x:c>
      <x:c r="N398" s="42" t="n">
        <x:f>IF(OR(H398="",I398="",M398=""),"",H398*I398*M398/100)</x:f>
        <x:v>49.5</x:v>
      </x:c>
      <x:c r="O398" s="36" t="str">
        <x:v>友愛街 3F梁版往上 鋼筋料單 114.08.28.XLS｜工作表 07｜原列 18｜左欄</x:v>
      </x:c>
    </x:row>
    <x:row r="399" ht="15" hidden="0" customHeight="1">
      <x:c r="A399" s="40" t="str">
        <x:v>07</x:v>
      </x:c>
      <x:c r="B399" s="40" t="str">
        <x:v>RF</x:v>
      </x:c>
      <x:c r="C399" s="40" t="str">
        <x:v>梁版及以上</x:v>
      </x:c>
      <x:c r="D399" s="40" t="str">
        <x:v>樑 筋</x:v>
      </x:c>
      <x:c r="E399" s="41" t="n">
        <x:v>19</x:v>
      </x:c>
      <x:c r="F399" s="40" t="str">
        <x:v>左欄</x:v>
      </x:c>
      <x:c r="G399" s="38" t="n">
        <x:v>6</x:v>
      </x:c>
      <x:c r="H399" s="37" t="n">
        <x:v>500</x:v>
      </x:c>
      <x:c r="I399" s="37" t="n">
        <x:v>9</x:v>
      </x:c>
      <x:c r="J399" s="37" t="n">
        <x:v>0</x:v>
      </x:c>
      <x:c r="K399" s="36" t="n">
        <x:v>470</x:v>
      </x:c>
      <x:c r="L399" s="37" t="n">
        <x:v>30</x:v>
      </x:c>
      <x:c r="M399" s="42" t="n">
        <x:f>IF(G399="","",INDEX('規格與範圍'!$B$14:$B$23,MATCH(G399,'規格與範圍'!$A$14:$A$23,0)))</x:f>
        <x:v>2.25</x:v>
      </x:c>
      <x:c r="N399" s="42" t="n">
        <x:f>IF(OR(H399="",I399="",M399=""),"",H399*I399*M399/100)</x:f>
        <x:v>101.25</x:v>
      </x:c>
      <x:c r="O399" s="36" t="str">
        <x:v>友愛街 3F梁版往上 鋼筋料單 114.08.28.XLS｜工作表 07｜原列 19｜左欄</x:v>
      </x:c>
    </x:row>
    <x:row r="400" ht="15" hidden="0" customHeight="1">
      <x:c r="A400" s="40" t="str">
        <x:v>07</x:v>
      </x:c>
      <x:c r="B400" s="40" t="str">
        <x:v>RF</x:v>
      </x:c>
      <x:c r="C400" s="40" t="str">
        <x:v>梁版及以上</x:v>
      </x:c>
      <x:c r="D400" s="40" t="str">
        <x:v>樑 筋</x:v>
      </x:c>
      <x:c r="E400" s="41" t="n">
        <x:v>20</x:v>
      </x:c>
      <x:c r="F400" s="40" t="str">
        <x:v>左欄</x:v>
      </x:c>
      <x:c r="G400" s="38" t="n">
        <x:v>6</x:v>
      </x:c>
      <x:c r="H400" s="37" t="n">
        <x:v>300</x:v>
      </x:c>
      <x:c r="I400" s="37" t="n">
        <x:v>9</x:v>
      </x:c>
      <x:c r="J400" s="37" t="n">
        <x:v>0</x:v>
      </x:c>
      <x:c r="K400" s="36" t="n">
        <x:v>270</x:v>
      </x:c>
      <x:c r="L400" s="37" t="n">
        <x:v>30</x:v>
      </x:c>
      <x:c r="M400" s="42" t="n">
        <x:f>IF(G400="","",INDEX('規格與範圍'!$B$14:$B$23,MATCH(G400,'規格與範圍'!$A$14:$A$23,0)))</x:f>
        <x:v>2.25</x:v>
      </x:c>
      <x:c r="N400" s="42" t="n">
        <x:f>IF(OR(H400="",I400="",M400=""),"",H400*I400*M400/100)</x:f>
        <x:v>60.75</x:v>
      </x:c>
      <x:c r="O400" s="36" t="str">
        <x:v>友愛街 3F梁版往上 鋼筋料單 114.08.28.XLS｜工作表 07｜原列 20｜左欄</x:v>
      </x:c>
    </x:row>
    <x:row r="401" ht="15" hidden="0" customHeight="1">
      <x:c r="A401" s="40" t="str">
        <x:v>07</x:v>
      </x:c>
      <x:c r="B401" s="40" t="str">
        <x:v>RF</x:v>
      </x:c>
      <x:c r="C401" s="40" t="str">
        <x:v>梁版及以上</x:v>
      </x:c>
      <x:c r="D401" s="40" t="str">
        <x:v>樑 筋</x:v>
      </x:c>
      <x:c r="E401" s="41" t="n">
        <x:v>21</x:v>
      </x:c>
      <x:c r="F401" s="40" t="str">
        <x:v>左欄</x:v>
      </x:c>
      <x:c r="G401" s="38" t="n">
        <x:v>6</x:v>
      </x:c>
      <x:c r="H401" s="37" t="n">
        <x:v>250</x:v>
      </x:c>
      <x:c r="I401" s="37" t="n">
        <x:v>8</x:v>
      </x:c>
      <x:c r="J401" s="37" t="n">
        <x:v>0</x:v>
      </x:c>
      <x:c r="K401" s="36" t="n">
        <x:v>220</x:v>
      </x:c>
      <x:c r="L401" s="37" t="n">
        <x:v>30</x:v>
      </x:c>
      <x:c r="M401" s="42" t="n">
        <x:f>IF(G401="","",INDEX('規格與範圍'!$B$14:$B$23,MATCH(G401,'規格與範圍'!$A$14:$A$23,0)))</x:f>
        <x:v>2.25</x:v>
      </x:c>
      <x:c r="N401" s="42" t="n">
        <x:f>IF(OR(H401="",I401="",M401=""),"",H401*I401*M401/100)</x:f>
        <x:v>45</x:v>
      </x:c>
      <x:c r="O401" s="36" t="str">
        <x:v>友愛街 3F梁版往上 鋼筋料單 114.08.28.XLS｜工作表 07｜原列 21｜左欄</x:v>
      </x:c>
    </x:row>
    <x:row r="402" ht="15" hidden="0" customHeight="1">
      <x:c r="A402" s="40" t="str">
        <x:v>07</x:v>
      </x:c>
      <x:c r="B402" s="40" t="str">
        <x:v>RF</x:v>
      </x:c>
      <x:c r="C402" s="40" t="str">
        <x:v>梁版及以上</x:v>
      </x:c>
      <x:c r="D402" s="40" t="str">
        <x:v>樑 筋</x:v>
      </x:c>
      <x:c r="E402" s="41" t="n">
        <x:v>22</x:v>
      </x:c>
      <x:c r="F402" s="40" t="str">
        <x:v>左欄</x:v>
      </x:c>
      <x:c r="G402" s="38" t="n">
        <x:v>6</x:v>
      </x:c>
      <x:c r="H402" s="37" t="n">
        <x:v>200</x:v>
      </x:c>
      <x:c r="I402" s="37" t="n">
        <x:v>2</x:v>
      </x:c>
      <x:c r="J402" s="37" t="n">
        <x:v>0</x:v>
      </x:c>
      <x:c r="K402" s="36" t="n">
        <x:v>170</x:v>
      </x:c>
      <x:c r="L402" s="37" t="n">
        <x:v>30</x:v>
      </x:c>
      <x:c r="M402" s="42" t="n">
        <x:f>IF(G402="","",INDEX('規格與範圍'!$B$14:$B$23,MATCH(G402,'規格與範圍'!$A$14:$A$23,0)))</x:f>
        <x:v>2.25</x:v>
      </x:c>
      <x:c r="N402" s="42" t="n">
        <x:f>IF(OR(H402="",I402="",M402=""),"",H402*I402*M402/100)</x:f>
        <x:v>9</x:v>
      </x:c>
      <x:c r="O402" s="36" t="str">
        <x:v>友愛街 3F梁版往上 鋼筋料單 114.08.28.XLS｜工作表 07｜原列 22｜左欄</x:v>
      </x:c>
    </x:row>
    <x:row r="403" ht="15" hidden="0" customHeight="1">
      <x:c r="A403" s="40" t="str">
        <x:v>07</x:v>
      </x:c>
      <x:c r="B403" s="40" t="str">
        <x:v>RF</x:v>
      </x:c>
      <x:c r="C403" s="40" t="str">
        <x:v>梁版及以上</x:v>
      </x:c>
      <x:c r="D403" s="40" t="str">
        <x:v>樑 筋</x:v>
      </x:c>
      <x:c r="E403" s="41" t="n">
        <x:v>23</x:v>
      </x:c>
      <x:c r="F403" s="40" t="str">
        <x:v>左欄</x:v>
      </x:c>
      <x:c r="G403" s="38" t="n">
        <x:v>6</x:v>
      </x:c>
      <x:c r="H403" s="37" t="n">
        <x:v>450</x:v>
      </x:c>
      <x:c r="I403" s="37" t="n">
        <x:v>1</x:v>
      </x:c>
      <x:c r="J403" s="37" t="n">
        <x:v>0</x:v>
      </x:c>
      <x:c r="K403" s="36" t="n">
        <x:v>450</x:v>
      </x:c>
      <x:c r="L403" s="37" t="n">
        <x:v>0</x:v>
      </x:c>
      <x:c r="M403" s="42" t="n">
        <x:f>IF(G403="","",INDEX('規格與範圍'!$B$14:$B$23,MATCH(G403,'規格與範圍'!$A$14:$A$23,0)))</x:f>
        <x:v>2.25</x:v>
      </x:c>
      <x:c r="N403" s="42" t="n">
        <x:f>IF(OR(H403="",I403="",M403=""),"",H403*I403*M403/100)</x:f>
        <x:v>10.125</x:v>
      </x:c>
      <x:c r="O403" s="36" t="str">
        <x:v>友愛街 3F梁版往上 鋼筋料單 114.08.28.XLS｜工作表 07｜原列 23｜左欄</x:v>
      </x:c>
    </x:row>
    <x:row r="404" ht="15" hidden="0" customHeight="1">
      <x:c r="A404" s="40" t="str">
        <x:v>07</x:v>
      </x:c>
      <x:c r="B404" s="40" t="str">
        <x:v>RF</x:v>
      </x:c>
      <x:c r="C404" s="40" t="str">
        <x:v>梁版及以上</x:v>
      </x:c>
      <x:c r="D404" s="40" t="str">
        <x:v>梁 工 作 筋</x:v>
      </x:c>
      <x:c r="E404" s="41" t="n">
        <x:v>26</x:v>
      </x:c>
      <x:c r="F404" s="40" t="str">
        <x:v>左欄</x:v>
      </x:c>
      <x:c r="G404" s="38" t="n">
        <x:v>3</x:v>
      </x:c>
      <x:c r="H404" s="37" t="n">
        <x:v>50</x:v>
      </x:c>
      <x:c r="I404" s="37" t="n">
        <x:v>15</x:v>
      </x:c>
      <x:c r="J404" s="37"/>
      <x:c r="K404" s="36" t="n">
        <x:v>50</x:v>
      </x:c>
      <x:c r="L404" s="37"/>
      <x:c r="M404" s="42" t="n">
        <x:f>IF(G404="","",INDEX('規格與範圍'!$B$14:$B$23,MATCH(G404,'規格與範圍'!$A$14:$A$23,0)))</x:f>
        <x:v>0.559</x:v>
      </x:c>
      <x:c r="N404" s="42" t="n">
        <x:f>IF(OR(H404="",I404="",M404=""),"",H404*I404*M404/100)</x:f>
        <x:v>4.192500000000001</x:v>
      </x:c>
      <x:c r="O404" s="36" t="str">
        <x:v>友愛街 3F梁版往上 鋼筋料單 114.08.28.XLS｜工作表 07｜原列 26｜左欄</x:v>
      </x:c>
    </x:row>
    <x:row r="405" ht="15" hidden="0" customHeight="1">
      <x:c r="A405" s="40" t="str">
        <x:v>07</x:v>
      </x:c>
      <x:c r="B405" s="40" t="str">
        <x:v>RF</x:v>
      </x:c>
      <x:c r="C405" s="40" t="str">
        <x:v>梁版及以上</x:v>
      </x:c>
      <x:c r="D405" s="40" t="str">
        <x:v>腰 筋</x:v>
      </x:c>
      <x:c r="E405" s="41" t="n">
        <x:v>29</x:v>
      </x:c>
      <x:c r="F405" s="40" t="str">
        <x:v>左欄</x:v>
      </x:c>
      <x:c r="G405" s="38" t="n">
        <x:v>4</x:v>
      </x:c>
      <x:c r="H405" s="37" t="n">
        <x:v>500</x:v>
      </x:c>
      <x:c r="I405" s="37" t="n">
        <x:v>16</x:v>
      </x:c>
      <x:c r="J405" s="37" t="n">
        <x:v>0</x:v>
      </x:c>
      <x:c r="K405" s="36" t="n">
        <x:v>500</x:v>
      </x:c>
      <x:c r="L405" s="37" t="n">
        <x:v>0</x:v>
      </x:c>
      <x:c r="M405" s="42" t="n">
        <x:f>IF(G405="","",INDEX('規格與範圍'!$B$14:$B$23,MATCH(G405,'規格與範圍'!$A$14:$A$23,0)))</x:f>
        <x:v>0.994</x:v>
      </x:c>
      <x:c r="N405" s="42" t="n">
        <x:f>IF(OR(H405="",I405="",M405=""),"",H405*I405*M405/100)</x:f>
        <x:v>79.52</x:v>
      </x:c>
      <x:c r="O405" s="36" t="str">
        <x:v>友愛街 3F梁版往上 鋼筋料單 114.08.28.XLS｜工作表 07｜原列 29｜左欄</x:v>
      </x:c>
    </x:row>
    <x:row r="406" ht="15" hidden="0" customHeight="1">
      <x:c r="A406" s="40" t="str">
        <x:v>07</x:v>
      </x:c>
      <x:c r="B406" s="40" t="str">
        <x:v>RF</x:v>
      </x:c>
      <x:c r="C406" s="40" t="str">
        <x:v>梁版及以上</x:v>
      </x:c>
      <x:c r="D406" s="40" t="str">
        <x:v>下 層 版 筋</x:v>
      </x:c>
      <x:c r="E406" s="41" t="n">
        <x:v>33</x:v>
      </x:c>
      <x:c r="F406" s="40" t="str">
        <x:v>左欄</x:v>
      </x:c>
      <x:c r="G406" s="38" t="n">
        <x:v>4</x:v>
      </x:c>
      <x:c r="H406" s="37" t="n">
        <x:v>680</x:v>
      </x:c>
      <x:c r="I406" s="37" t="n">
        <x:v>89</x:v>
      </x:c>
      <x:c r="J406" s="37"/>
      <x:c r="K406" s="36" t="n">
        <x:v>680</x:v>
      </x:c>
      <x:c r="L406" s="37"/>
      <x:c r="M406" s="42" t="n">
        <x:f>IF(G406="","",INDEX('規格與範圍'!$B$14:$B$23,MATCH(G406,'規格與範圍'!$A$14:$A$23,0)))</x:f>
        <x:v>0.994</x:v>
      </x:c>
      <x:c r="N406" s="42" t="n">
        <x:f>IF(OR(H406="",I406="",M406=""),"",H406*I406*M406/100)</x:f>
        <x:v>601.5688</x:v>
      </x:c>
      <x:c r="O406" s="36" t="str">
        <x:v>友愛街 3F梁版往上 鋼筋料單 114.08.28.XLS｜工作表 07｜原列 33｜左欄</x:v>
      </x:c>
    </x:row>
    <x:row r="407" ht="15" hidden="0" customHeight="1">
      <x:c r="A407" s="40" t="str">
        <x:v>07</x:v>
      </x:c>
      <x:c r="B407" s="40" t="str">
        <x:v>RF</x:v>
      </x:c>
      <x:c r="C407" s="40" t="str">
        <x:v>梁版及以上</x:v>
      </x:c>
      <x:c r="D407" s="40" t="str">
        <x:v>下 層 版 筋</x:v>
      </x:c>
      <x:c r="E407" s="41" t="n">
        <x:v>34</x:v>
      </x:c>
      <x:c r="F407" s="40" t="str">
        <x:v>左欄</x:v>
      </x:c>
      <x:c r="G407" s="38" t="n">
        <x:v>4</x:v>
      </x:c>
      <x:c r="H407" s="37" t="n">
        <x:v>630</x:v>
      </x:c>
      <x:c r="I407" s="37" t="n">
        <x:v>49</x:v>
      </x:c>
      <x:c r="J407" s="37"/>
      <x:c r="K407" s="36" t="n">
        <x:v>630</x:v>
      </x:c>
      <x:c r="L407" s="37"/>
      <x:c r="M407" s="42" t="n">
        <x:f>IF(G407="","",INDEX('規格與範圍'!$B$14:$B$23,MATCH(G407,'規格與範圍'!$A$14:$A$23,0)))</x:f>
        <x:v>0.994</x:v>
      </x:c>
      <x:c r="N407" s="42" t="n">
        <x:f>IF(OR(H407="",I407="",M407=""),"",H407*I407*M407/100)</x:f>
        <x:v>306.8478</x:v>
      </x:c>
      <x:c r="O407" s="36" t="str">
        <x:v>友愛街 3F梁版往上 鋼筋料單 114.08.28.XLS｜工作表 07｜原列 34｜左欄</x:v>
      </x:c>
    </x:row>
    <x:row r="408" ht="15" hidden="0" customHeight="1">
      <x:c r="A408" s="40" t="str">
        <x:v>07</x:v>
      </x:c>
      <x:c r="B408" s="40" t="str">
        <x:v>RF</x:v>
      </x:c>
      <x:c r="C408" s="40" t="str">
        <x:v>梁版及以上</x:v>
      </x:c>
      <x:c r="D408" s="40" t="str">
        <x:v>下 層 版 筋</x:v>
      </x:c>
      <x:c r="E408" s="41" t="n">
        <x:v>35</x:v>
      </x:c>
      <x:c r="F408" s="40" t="str">
        <x:v>左欄</x:v>
      </x:c>
      <x:c r="G408" s="38" t="n">
        <x:v>4</x:v>
      </x:c>
      <x:c r="H408" s="37" t="n">
        <x:v>580</x:v>
      </x:c>
      <x:c r="I408" s="37" t="n">
        <x:v>48</x:v>
      </x:c>
      <x:c r="J408" s="37"/>
      <x:c r="K408" s="36" t="n">
        <x:v>580</x:v>
      </x:c>
      <x:c r="L408" s="37"/>
      <x:c r="M408" s="42" t="n">
        <x:f>IF(G408="","",INDEX('規格與範圍'!$B$14:$B$23,MATCH(G408,'規格與範圍'!$A$14:$A$23,0)))</x:f>
        <x:v>0.994</x:v>
      </x:c>
      <x:c r="N408" s="42" t="n">
        <x:f>IF(OR(H408="",I408="",M408=""),"",H408*I408*M408/100)</x:f>
        <x:v>276.7296</x:v>
      </x:c>
      <x:c r="O408" s="36" t="str">
        <x:v>友愛街 3F梁版往上 鋼筋料單 114.08.28.XLS｜工作表 07｜原列 35｜左欄</x:v>
      </x:c>
    </x:row>
    <x:row r="409" ht="15" hidden="0" customHeight="1">
      <x:c r="A409" s="40" t="str">
        <x:v>07</x:v>
      </x:c>
      <x:c r="B409" s="40" t="str">
        <x:v>RF</x:v>
      </x:c>
      <x:c r="C409" s="40" t="str">
        <x:v>梁版及以上</x:v>
      </x:c>
      <x:c r="D409" s="40" t="str">
        <x:v>下 層 版 筋</x:v>
      </x:c>
      <x:c r="E409" s="41" t="n">
        <x:v>37</x:v>
      </x:c>
      <x:c r="F409" s="40" t="str">
        <x:v>左欄</x:v>
      </x:c>
      <x:c r="G409" s="38" t="n">
        <x:v>3</x:v>
      </x:c>
      <x:c r="H409" s="37" t="n">
        <x:v>300</x:v>
      </x:c>
      <x:c r="I409" s="37" t="n">
        <x:v>30</x:v>
      </x:c>
      <x:c r="J409" s="37"/>
      <x:c r="K409" s="36" t="n">
        <x:v>285</x:v>
      </x:c>
      <x:c r="L409" s="37" t="n">
        <x:v>15</x:v>
      </x:c>
      <x:c r="M409" s="42" t="n">
        <x:f>IF(G409="","",INDEX('規格與範圍'!$B$14:$B$23,MATCH(G409,'規格與範圍'!$A$14:$A$23,0)))</x:f>
        <x:v>0.559</x:v>
      </x:c>
      <x:c r="N409" s="42" t="n">
        <x:f>IF(OR(H409="",I409="",M409=""),"",H409*I409*M409/100)</x:f>
        <x:v>50.31000000000001</x:v>
      </x:c>
      <x:c r="O409" s="36" t="str">
        <x:v>友愛街 3F梁版往上 鋼筋料單 114.08.28.XLS｜工作表 07｜原列 37｜左欄</x:v>
      </x:c>
    </x:row>
    <x:row r="410" ht="15" hidden="0" customHeight="1">
      <x:c r="A410" s="40" t="str">
        <x:v>07</x:v>
      </x:c>
      <x:c r="B410" s="40" t="str">
        <x:v>RF</x:v>
      </x:c>
      <x:c r="C410" s="40" t="str">
        <x:v>梁版及以上</x:v>
      </x:c>
      <x:c r="D410" s="40" t="str">
        <x:v>下 層 版 筋</x:v>
      </x:c>
      <x:c r="E410" s="41" t="n">
        <x:v>38</x:v>
      </x:c>
      <x:c r="F410" s="40" t="str">
        <x:v>左欄</x:v>
      </x:c>
      <x:c r="G410" s="38" t="n">
        <x:v>3</x:v>
      </x:c>
      <x:c r="H410" s="37" t="n">
        <x:v>265</x:v>
      </x:c>
      <x:c r="I410" s="37" t="n">
        <x:v>18</x:v>
      </x:c>
      <x:c r="J410" s="37"/>
      <x:c r="K410" s="36" t="n">
        <x:v>250</x:v>
      </x:c>
      <x:c r="L410" s="37" t="n">
        <x:v>15</x:v>
      </x:c>
      <x:c r="M410" s="42" t="n">
        <x:f>IF(G410="","",INDEX('規格與範圍'!$B$14:$B$23,MATCH(G410,'規格與範圍'!$A$14:$A$23,0)))</x:f>
        <x:v>0.559</x:v>
      </x:c>
      <x:c r="N410" s="42" t="n">
        <x:f>IF(OR(H410="",I410="",M410=""),"",H410*I410*M410/100)</x:f>
        <x:v>26.664300000000004</x:v>
      </x:c>
      <x:c r="O410" s="36" t="str">
        <x:v>友愛街 3F梁版往上 鋼筋料單 114.08.28.XLS｜工作表 07｜原列 38｜左欄</x:v>
      </x:c>
    </x:row>
    <x:row r="411" ht="15" hidden="0" customHeight="1">
      <x:c r="A411" s="40" t="str">
        <x:v>07</x:v>
      </x:c>
      <x:c r="B411" s="40" t="str">
        <x:v>RF</x:v>
      </x:c>
      <x:c r="C411" s="40" t="str">
        <x:v>梁版及以上</x:v>
      </x:c>
      <x:c r="D411" s="40" t="str">
        <x:v>下 層 版 筋</x:v>
      </x:c>
      <x:c r="E411" s="41" t="n">
        <x:v>39</x:v>
      </x:c>
      <x:c r="F411" s="40" t="str">
        <x:v>左欄</x:v>
      </x:c>
      <x:c r="G411" s="38" t="n">
        <x:v>3</x:v>
      </x:c>
      <x:c r="H411" s="37" t="n">
        <x:v>200</x:v>
      </x:c>
      <x:c r="I411" s="37" t="n">
        <x:v>24</x:v>
      </x:c>
      <x:c r="J411" s="37"/>
      <x:c r="K411" s="36" t="n">
        <x:v>185</x:v>
      </x:c>
      <x:c r="L411" s="37" t="n">
        <x:v>15</x:v>
      </x:c>
      <x:c r="M411" s="42" t="n">
        <x:f>IF(G411="","",INDEX('規格與範圍'!$B$14:$B$23,MATCH(G411,'規格與範圍'!$A$14:$A$23,0)))</x:f>
        <x:v>0.559</x:v>
      </x:c>
      <x:c r="N411" s="42" t="n">
        <x:f>IF(OR(H411="",I411="",M411=""),"",H411*I411*M411/100)</x:f>
        <x:v>26.832000000000004</x:v>
      </x:c>
      <x:c r="O411" s="36" t="str">
        <x:v>友愛街 3F梁版往上 鋼筋料單 114.08.28.XLS｜工作表 07｜原列 39｜左欄</x:v>
      </x:c>
    </x:row>
    <x:row r="412" ht="15" hidden="0" customHeight="1">
      <x:c r="A412" s="40" t="str">
        <x:v>07</x:v>
      </x:c>
      <x:c r="B412" s="40" t="str">
        <x:v>RF</x:v>
      </x:c>
      <x:c r="C412" s="40" t="str">
        <x:v>梁版及以上</x:v>
      </x:c>
      <x:c r="D412" s="40" t="str">
        <x:v>下 層 版 筋</x:v>
      </x:c>
      <x:c r="E412" s="41" t="n">
        <x:v>40</x:v>
      </x:c>
      <x:c r="F412" s="40" t="str">
        <x:v>左欄</x:v>
      </x:c>
      <x:c r="G412" s="38" t="n">
        <x:v>3</x:v>
      </x:c>
      <x:c r="H412" s="37" t="n">
        <x:v>150</x:v>
      </x:c>
      <x:c r="I412" s="37" t="n">
        <x:v>123</x:v>
      </x:c>
      <x:c r="J412" s="37"/>
      <x:c r="K412" s="36" t="n">
        <x:v>135</x:v>
      </x:c>
      <x:c r="L412" s="37" t="n">
        <x:v>15</x:v>
      </x:c>
      <x:c r="M412" s="42" t="n">
        <x:f>IF(G412="","",INDEX('規格與範圍'!$B$14:$B$23,MATCH(G412,'規格與範圍'!$A$14:$A$23,0)))</x:f>
        <x:v>0.559</x:v>
      </x:c>
      <x:c r="N412" s="42" t="n">
        <x:f>IF(OR(H412="",I412="",M412=""),"",H412*I412*M412/100)</x:f>
        <x:v>103.13550000000001</x:v>
      </x:c>
      <x:c r="O412" s="36" t="str">
        <x:v>友愛街 3F梁版往上 鋼筋料單 114.08.28.XLS｜工作表 07｜原列 40｜左欄</x:v>
      </x:c>
    </x:row>
    <x:row r="413" ht="15" hidden="0" customHeight="1">
      <x:c r="A413" s="40" t="str">
        <x:v>07</x:v>
      </x:c>
      <x:c r="B413" s="40" t="str">
        <x:v>RF</x:v>
      </x:c>
      <x:c r="C413" s="40" t="str">
        <x:v>梁版及以上</x:v>
      </x:c>
      <x:c r="D413" s="40" t="str">
        <x:v>下 層 版 筋</x:v>
      </x:c>
      <x:c r="E413" s="41" t="n">
        <x:v>41</x:v>
      </x:c>
      <x:c r="F413" s="40" t="str">
        <x:v>左欄</x:v>
      </x:c>
      <x:c r="G413" s="38" t="n">
        <x:v>3</x:v>
      </x:c>
      <x:c r="H413" s="37" t="n">
        <x:v>440</x:v>
      </x:c>
      <x:c r="I413" s="37" t="n">
        <x:v>18</x:v>
      </x:c>
      <x:c r="J413" s="37"/>
      <x:c r="K413" s="36" t="n">
        <x:v>440</x:v>
      </x:c>
      <x:c r="L413" s="37"/>
      <x:c r="M413" s="42" t="n">
        <x:f>IF(G413="","",INDEX('規格與範圍'!$B$14:$B$23,MATCH(G413,'規格與範圍'!$A$14:$A$23,0)))</x:f>
        <x:v>0.559</x:v>
      </x:c>
      <x:c r="N413" s="42" t="n">
        <x:f>IF(OR(H413="",I413="",M413=""),"",H413*I413*M413/100)</x:f>
        <x:v>44.272800000000004</x:v>
      </x:c>
      <x:c r="O413" s="36" t="str">
        <x:v>友愛街 3F梁版往上 鋼筋料單 114.08.28.XLS｜工作表 07｜原列 41｜左欄</x:v>
      </x:c>
    </x:row>
    <x:row r="414" ht="15" hidden="0" customHeight="1">
      <x:c r="A414" s="40" t="str">
        <x:v>07</x:v>
      </x:c>
      <x:c r="B414" s="40" t="str">
        <x:v>RF</x:v>
      </x:c>
      <x:c r="C414" s="40" t="str">
        <x:v>梁版及以上</x:v>
      </x:c>
      <x:c r="D414" s="40" t="str">
        <x:v>下 層 版 筋</x:v>
      </x:c>
      <x:c r="E414" s="41" t="n">
        <x:v>42</x:v>
      </x:c>
      <x:c r="F414" s="40" t="str">
        <x:v>左欄</x:v>
      </x:c>
      <x:c r="G414" s="38" t="n">
        <x:v>3</x:v>
      </x:c>
      <x:c r="H414" s="37" t="n">
        <x:v>300</x:v>
      </x:c>
      <x:c r="I414" s="37" t="n">
        <x:v>33</x:v>
      </x:c>
      <x:c r="J414" s="37"/>
      <x:c r="K414" s="36" t="n">
        <x:v>300</x:v>
      </x:c>
      <x:c r="L414" s="37"/>
      <x:c r="M414" s="42" t="n">
        <x:f>IF(G414="","",INDEX('規格與範圍'!$B$14:$B$23,MATCH(G414,'規格與範圍'!$A$14:$A$23,0)))</x:f>
        <x:v>0.559</x:v>
      </x:c>
      <x:c r="N414" s="42" t="n">
        <x:f>IF(OR(H414="",I414="",M414=""),"",H414*I414*M414/100)</x:f>
        <x:v>55.341</x:v>
      </x:c>
      <x:c r="O414" s="36" t="str">
        <x:v>友愛街 3F梁版往上 鋼筋料單 114.08.28.XLS｜工作表 07｜原列 42｜左欄</x:v>
      </x:c>
    </x:row>
    <x:row r="415" ht="15" hidden="0" customHeight="1">
      <x:c r="A415" s="40" t="str">
        <x:v>07</x:v>
      </x:c>
      <x:c r="B415" s="40" t="str">
        <x:v>RF</x:v>
      </x:c>
      <x:c r="C415" s="40" t="str">
        <x:v>梁版及以上</x:v>
      </x:c>
      <x:c r="D415" s="40" t="str">
        <x:v>降 版 連 接 筋</x:v>
      </x:c>
      <x:c r="E415" s="41" t="n">
        <x:v>45</x:v>
      </x:c>
      <x:c r="F415" s="40" t="str">
        <x:v>左欄</x:v>
      </x:c>
      <x:c r="G415" s="38" t="n">
        <x:v>4</x:v>
      </x:c>
      <x:c r="H415" s="37" t="n">
        <x:v>140</x:v>
      </x:c>
      <x:c r="I415" s="37" t="n">
        <x:v>96</x:v>
      </x:c>
      <x:c r="J415" s="37"/>
      <x:c r="K415" s="36" t="n">
        <x:v>60</x:v>
      </x:c>
      <x:c r="L415" s="37"/>
      <x:c r="M415" s="42" t="n">
        <x:f>IF(G415="","",INDEX('規格與範圍'!$B$14:$B$23,MATCH(G415,'規格與範圍'!$A$14:$A$23,0)))</x:f>
        <x:v>0.994</x:v>
      </x:c>
      <x:c r="N415" s="42" t="n">
        <x:f>IF(OR(H415="",I415="",M415=""),"",H415*I415*M415/100)</x:f>
        <x:v>133.5936</x:v>
      </x:c>
      <x:c r="O415" s="36" t="str">
        <x:v>友愛街 3F梁版往上 鋼筋料單 114.08.28.XLS｜工作表 07｜原列 45｜左欄</x:v>
      </x:c>
    </x:row>
    <x:row r="416" ht="15" hidden="0" customHeight="1">
      <x:c r="A416" s="40" t="str">
        <x:v>07</x:v>
      </x:c>
      <x:c r="B416" s="40" t="str">
        <x:v>RF</x:v>
      </x:c>
      <x:c r="C416" s="40" t="str">
        <x:v>梁版及以上</x:v>
      </x:c>
      <x:c r="D416" s="40" t="str">
        <x:v>版 工 作 筋</x:v>
      </x:c>
      <x:c r="E416" s="41" t="n">
        <x:v>49</x:v>
      </x:c>
      <x:c r="F416" s="40" t="str">
        <x:v>左欄</x:v>
      </x:c>
      <x:c r="G416" s="38" t="n">
        <x:v>4</x:v>
      </x:c>
      <x:c r="H416" s="37" t="n">
        <x:v>630</x:v>
      </x:c>
      <x:c r="I416" s="37" t="n">
        <x:v>25</x:v>
      </x:c>
      <x:c r="J416" s="37"/>
      <x:c r="K416" s="36" t="n">
        <x:v>630</x:v>
      </x:c>
      <x:c r="L416" s="37"/>
      <x:c r="M416" s="42" t="n">
        <x:f>IF(G416="","",INDEX('規格與範圍'!$B$14:$B$23,MATCH(G416,'規格與範圍'!$A$14:$A$23,0)))</x:f>
        <x:v>0.994</x:v>
      </x:c>
      <x:c r="N416" s="42" t="n">
        <x:f>IF(OR(H416="",I416="",M416=""),"",H416*I416*M416/100)</x:f>
        <x:v>156.555</x:v>
      </x:c>
      <x:c r="O416" s="36" t="str">
        <x:v>友愛街 3F梁版往上 鋼筋料單 114.08.28.XLS｜工作表 07｜原列 49｜左欄</x:v>
      </x:c>
    </x:row>
    <x:row r="417" ht="15" hidden="0" customHeight="1">
      <x:c r="A417" s="40" t="str">
        <x:v>07</x:v>
      </x:c>
      <x:c r="B417" s="40" t="str">
        <x:v>RF</x:v>
      </x:c>
      <x:c r="C417" s="40" t="str">
        <x:v>梁版及以上</x:v>
      </x:c>
      <x:c r="D417" s="40" t="str">
        <x:v>版 工 作 筋</x:v>
      </x:c>
      <x:c r="E417" s="41" t="n">
        <x:v>51</x:v>
      </x:c>
      <x:c r="F417" s="40" t="str">
        <x:v>左欄</x:v>
      </x:c>
      <x:c r="G417" s="38" t="n">
        <x:v>4</x:v>
      </x:c>
      <x:c r="H417" s="37" t="n">
        <x:v>106</x:v>
      </x:c>
      <x:c r="I417" s="37" t="n">
        <x:v>105</x:v>
      </x:c>
      <x:c r="J417" s="37" t="n">
        <x:v>30</x:v>
      </x:c>
      <x:c r="K417" s="36"/>
      <x:c r="L417" s="37" t="n">
        <x:v>8</x:v>
      </x:c>
      <x:c r="M417" s="42" t="n">
        <x:f>IF(G417="","",INDEX('規格與範圍'!$B$14:$B$23,MATCH(G417,'規格與範圍'!$A$14:$A$23,0)))</x:f>
        <x:v>0.994</x:v>
      </x:c>
      <x:c r="N417" s="42" t="n">
        <x:f>IF(OR(H417="",I417="",M417=""),"",H417*I417*M417/100)</x:f>
        <x:v>110.6322</x:v>
      </x:c>
      <x:c r="O417" s="36" t="str">
        <x:v>友愛街 3F梁版往上 鋼筋料單 114.08.28.XLS｜工作表 07｜原列 51｜左欄</x:v>
      </x:c>
    </x:row>
    <x:row r="418" ht="15" hidden="0" customHeight="1">
      <x:c r="A418" s="40" t="str">
        <x:v>07</x:v>
      </x:c>
      <x:c r="B418" s="40" t="str">
        <x:v>RF</x:v>
      </x:c>
      <x:c r="C418" s="40" t="str">
        <x:v>梁版及以上</x:v>
      </x:c>
      <x:c r="D418" s="40" t="str">
        <x:v>牆 間 隔 筋</x:v>
      </x:c>
      <x:c r="E418" s="41" t="n">
        <x:v>55</x:v>
      </x:c>
      <x:c r="F418" s="40" t="str">
        <x:v>左欄</x:v>
      </x:c>
      <x:c r="G418" s="38" t="n">
        <x:v>3</x:v>
      </x:c>
      <x:c r="H418" s="37" t="n">
        <x:v>55</x:v>
      </x:c>
      <x:c r="I418" s="37" t="n">
        <x:v>40</x:v>
      </x:c>
      <x:c r="J418" s="37" t="n">
        <x:v>7</x:v>
      </x:c>
      <x:c r="K418" s="36" t="n">
        <x:v>1830</x:v>
      </x:c>
      <x:c r="L418" s="37"/>
      <x:c r="M418" s="42" t="n">
        <x:f>IF(G418="","",INDEX('規格與範圍'!$B$14:$B$23,MATCH(G418,'規格與範圍'!$A$14:$A$23,0)))</x:f>
        <x:v>0.559</x:v>
      </x:c>
      <x:c r="N418" s="42" t="n">
        <x:f>IF(OR(H418="",I418="",M418=""),"",H418*I418*M418/100)</x:f>
        <x:v>12.298000000000002</x:v>
      </x:c>
      <x:c r="O418" s="36" t="str">
        <x:v>友愛街 3F梁版往上 鋼筋料單 114.08.28.XLS｜工作表 07｜原列 55｜左欄</x:v>
      </x:c>
    </x:row>
    <x:row r="419" ht="15" hidden="0" customHeight="1">
      <x:c r="A419" s="40" t="str">
        <x:v>07</x:v>
      </x:c>
      <x:c r="B419" s="40" t="str">
        <x:v>RF</x:v>
      </x:c>
      <x:c r="C419" s="40" t="str">
        <x:v>梁版及以上</x:v>
      </x:c>
      <x:c r="D419" s="40" t="str">
        <x:v>箍 筋</x:v>
      </x:c>
      <x:c r="E419" s="41" t="n">
        <x:v>5</x:v>
      </x:c>
      <x:c r="F419" s="40" t="str">
        <x:v>右欄</x:v>
      </x:c>
      <x:c r="G419" s="38" t="n">
        <x:v>4</x:v>
      </x:c>
      <x:c r="H419" s="37" t="n">
        <x:v>186</x:v>
      </x:c>
      <x:c r="I419" s="37" t="n">
        <x:v>98</x:v>
      </x:c>
      <x:c r="J419" s="37" t="str">
        <x:v>13 / 13</x:v>
      </x:c>
      <x:c r="K419" s="36"/>
      <x:c r="L419" s="37" t="n">
        <x:v>60</x:v>
      </x:c>
      <x:c r="M419" s="42" t="n">
        <x:f>IF(G419="","",INDEX('規格與範圍'!$B$14:$B$23,MATCH(G419,'規格與範圍'!$A$14:$A$23,0)))</x:f>
        <x:v>0.994</x:v>
      </x:c>
      <x:c r="N419" s="42" t="n">
        <x:f>IF(OR(H419="",I419="",M419=""),"",H419*I419*M419/100)</x:f>
        <x:v>181.18632000000002</x:v>
      </x:c>
      <x:c r="O419" s="36" t="str">
        <x:v>友愛街 3F梁版往上 鋼筋料單 114.08.28.XLS｜工作表 07｜原列 5｜右欄</x:v>
      </x:c>
    </x:row>
    <x:row r="420" ht="15" hidden="0" customHeight="1">
      <x:c r="A420" s="40" t="str">
        <x:v>07</x:v>
      </x:c>
      <x:c r="B420" s="40" t="str">
        <x:v>RF</x:v>
      </x:c>
      <x:c r="C420" s="40" t="str">
        <x:v>梁版及以上</x:v>
      </x:c>
      <x:c r="D420" s="40" t="str">
        <x:v>箍 筋</x:v>
      </x:c>
      <x:c r="E420" s="41" t="n">
        <x:v>7</x:v>
      </x:c>
      <x:c r="F420" s="40" t="str">
        <x:v>右欄</x:v>
      </x:c>
      <x:c r="G420" s="38" t="n">
        <x:v>4</x:v>
      </x:c>
      <x:c r="H420" s="37" t="n">
        <x:v>176</x:v>
      </x:c>
      <x:c r="I420" s="37" t="n">
        <x:v>70</x:v>
      </x:c>
      <x:c r="J420" s="37" t="str">
        <x:v>13 / 13</x:v>
      </x:c>
      <x:c r="K420" s="36"/>
      <x:c r="L420" s="37" t="n">
        <x:v>60</x:v>
      </x:c>
      <x:c r="M420" s="42" t="n">
        <x:f>IF(G420="","",INDEX('規格與範圍'!$B$14:$B$23,MATCH(G420,'規格與範圍'!$A$14:$A$23,0)))</x:f>
        <x:v>0.994</x:v>
      </x:c>
      <x:c r="N420" s="42" t="n">
        <x:f>IF(OR(H420="",I420="",M420=""),"",H420*I420*M420/100)</x:f>
        <x:v>122.4608</x:v>
      </x:c>
      <x:c r="O420" s="36" t="str">
        <x:v>友愛街 3F梁版往上 鋼筋料單 114.08.28.XLS｜工作表 07｜原列 7｜右欄</x:v>
      </x:c>
    </x:row>
    <x:row r="421" ht="15" hidden="0" customHeight="1">
      <x:c r="A421" s="40" t="str">
        <x:v>07</x:v>
      </x:c>
      <x:c r="B421" s="40" t="str">
        <x:v>RF</x:v>
      </x:c>
      <x:c r="C421" s="40" t="str">
        <x:v>梁版及以上</x:v>
      </x:c>
      <x:c r="D421" s="40" t="str">
        <x:v>箍 筋</x:v>
      </x:c>
      <x:c r="E421" s="41" t="n">
        <x:v>9</x:v>
      </x:c>
      <x:c r="F421" s="40" t="str">
        <x:v>右欄</x:v>
      </x:c>
      <x:c r="G421" s="38" t="n">
        <x:v>3</x:v>
      </x:c>
      <x:c r="H421" s="37" t="n">
        <x:v>147</x:v>
      </x:c>
      <x:c r="I421" s="37" t="n">
        <x:v>36</x:v>
      </x:c>
      <x:c r="J421" s="37" t="str">
        <x:v>11 / 11</x:v>
      </x:c>
      <x:c r="K421" s="36"/>
      <x:c r="L421" s="37" t="n">
        <x:v>50</x:v>
      </x:c>
      <x:c r="M421" s="42" t="n">
        <x:f>IF(G421="","",INDEX('規格與範圍'!$B$14:$B$23,MATCH(G421,'規格與範圍'!$A$14:$A$23,0)))</x:f>
        <x:v>0.559</x:v>
      </x:c>
      <x:c r="N421" s="42" t="n">
        <x:f>IF(OR(H421="",I421="",M421=""),"",H421*I421*M421/100)</x:f>
        <x:v>29.58228</x:v>
      </x:c>
      <x:c r="O421" s="36" t="str">
        <x:v>友愛街 3F梁版往上 鋼筋料單 114.08.28.XLS｜工作表 07｜原列 9｜右欄</x:v>
      </x:c>
    </x:row>
    <x:row r="422" ht="15" hidden="0" customHeight="1">
      <x:c r="A422" s="40" t="str">
        <x:v>07</x:v>
      </x:c>
      <x:c r="B422" s="40" t="str">
        <x:v>RF</x:v>
      </x:c>
      <x:c r="C422" s="40" t="str">
        <x:v>梁版及以上</x:v>
      </x:c>
      <x:c r="D422" s="40" t="str">
        <x:v>箍 筋</x:v>
      </x:c>
      <x:c r="E422" s="41" t="n">
        <x:v>11</x:v>
      </x:c>
      <x:c r="F422" s="40" t="str">
        <x:v>右欄</x:v>
      </x:c>
      <x:c r="G422" s="38" t="n">
        <x:v>3</x:v>
      </x:c>
      <x:c r="H422" s="37" t="n">
        <x:v>127</x:v>
      </x:c>
      <x:c r="I422" s="37" t="n">
        <x:v>111</x:v>
      </x:c>
      <x:c r="J422" s="37" t="str">
        <x:v>11 / 11</x:v>
      </x:c>
      <x:c r="K422" s="36"/>
      <x:c r="L422" s="37" t="n">
        <x:v>40</x:v>
      </x:c>
      <x:c r="M422" s="42" t="n">
        <x:f>IF(G422="","",INDEX('規格與範圍'!$B$14:$B$23,MATCH(G422,'規格與範圍'!$A$14:$A$23,0)))</x:f>
        <x:v>0.559</x:v>
      </x:c>
      <x:c r="N422" s="42" t="n">
        <x:f>IF(OR(H422="",I422="",M422=""),"",H422*I422*M422/100)</x:f>
        <x:v>78.80223000000001</x:v>
      </x:c>
      <x:c r="O422" s="36" t="str">
        <x:v>友愛街 3F梁版往上 鋼筋料單 114.08.28.XLS｜工作表 07｜原列 11｜右欄</x:v>
      </x:c>
    </x:row>
    <x:row r="423" ht="15" hidden="0" customHeight="1">
      <x:c r="A423" s="40" t="str">
        <x:v>07</x:v>
      </x:c>
      <x:c r="B423" s="40" t="str">
        <x:v>RF</x:v>
      </x:c>
      <x:c r="C423" s="40" t="str">
        <x:v>梁版及以上</x:v>
      </x:c>
      <x:c r="D423" s="40" t="str">
        <x:v>箍 筋</x:v>
      </x:c>
      <x:c r="E423" s="41" t="n">
        <x:v>13</x:v>
      </x:c>
      <x:c r="F423" s="40" t="str">
        <x:v>右欄</x:v>
      </x:c>
      <x:c r="G423" s="38" t="n">
        <x:v>3</x:v>
      </x:c>
      <x:c r="H423" s="37" t="n">
        <x:v>99</x:v>
      </x:c>
      <x:c r="I423" s="37" t="n">
        <x:v>22</x:v>
      </x:c>
      <x:c r="J423" s="37" t="str">
        <x:v>11 / 11</x:v>
      </x:c>
      <x:c r="K423" s="36"/>
      <x:c r="L423" s="37" t="n">
        <x:v>30</x:v>
      </x:c>
      <x:c r="M423" s="42" t="n">
        <x:f>IF(G423="","",INDEX('規格與範圍'!$B$14:$B$23,MATCH(G423,'規格與範圍'!$A$14:$A$23,0)))</x:f>
        <x:v>0.559</x:v>
      </x:c>
      <x:c r="N423" s="42" t="n">
        <x:f>IF(OR(H423="",I423="",M423=""),"",H423*I423*M423/100)</x:f>
        <x:v>12.175020000000002</x:v>
      </x:c>
      <x:c r="O423" s="36" t="str">
        <x:v>友愛街 3F梁版往上 鋼筋料單 114.08.28.XLS｜工作表 07｜原列 13｜右欄</x:v>
      </x:c>
    </x:row>
    <x:row r="424" ht="15" hidden="0" customHeight="1">
      <x:c r="A424" s="40" t="str">
        <x:v>07</x:v>
      </x:c>
      <x:c r="B424" s="40" t="str">
        <x:v>RF</x:v>
      </x:c>
      <x:c r="C424" s="40" t="str">
        <x:v>梁版及以上</x:v>
      </x:c>
      <x:c r="D424" s="40" t="str">
        <x:v>箍 筋</x:v>
      </x:c>
      <x:c r="E424" s="41" t="n">
        <x:v>16</x:v>
      </x:c>
      <x:c r="F424" s="40" t="str">
        <x:v>右欄</x:v>
      </x:c>
      <x:c r="G424" s="38" t="n">
        <x:v>4</x:v>
      </x:c>
      <x:c r="H424" s="37" t="n">
        <x:v>65</x:v>
      </x:c>
      <x:c r="I424" s="37" t="n">
        <x:v>98</x:v>
      </x:c>
      <x:c r="J424" s="37" t="n">
        <x:v>12</x:v>
      </x:c>
      <x:c r="K424" s="36" t="n">
        <x:v>40</x:v>
      </x:c>
      <x:c r="L424" s="37" t="n">
        <x:v>13</x:v>
      </x:c>
      <x:c r="M424" s="42" t="n">
        <x:f>IF(G424="","",INDEX('規格與範圍'!$B$14:$B$23,MATCH(G424,'規格與範圍'!$A$14:$A$23,0)))</x:f>
        <x:v>0.994</x:v>
      </x:c>
      <x:c r="N424" s="42" t="n">
        <x:f>IF(OR(H424="",I424="",M424=""),"",H424*I424*M424/100)</x:f>
        <x:v>63.3178</x:v>
      </x:c>
      <x:c r="O424" s="36" t="str">
        <x:v>友愛街 3F梁版往上 鋼筋料單 114.08.28.XLS｜工作表 07｜原列 16｜右欄</x:v>
      </x:c>
    </x:row>
    <x:row r="425" ht="15" hidden="0" customHeight="1">
      <x:c r="A425" s="40" t="str">
        <x:v>07</x:v>
      </x:c>
      <x:c r="B425" s="40" t="str">
        <x:v>RF</x:v>
      </x:c>
      <x:c r="C425" s="40" t="str">
        <x:v>梁版及以上</x:v>
      </x:c>
      <x:c r="D425" s="40" t="str">
        <x:v>箍 筋</x:v>
      </x:c>
      <x:c r="E425" s="41" t="n">
        <x:v>17</x:v>
      </x:c>
      <x:c r="F425" s="40" t="str">
        <x:v>右欄</x:v>
      </x:c>
      <x:c r="G425" s="38" t="n">
        <x:v>4</x:v>
      </x:c>
      <x:c r="H425" s="37" t="n">
        <x:v>55</x:v>
      </x:c>
      <x:c r="I425" s="37" t="n">
        <x:v>70</x:v>
      </x:c>
      <x:c r="J425" s="37" t="n">
        <x:v>12</x:v>
      </x:c>
      <x:c r="K425" s="36" t="n">
        <x:v>30</x:v>
      </x:c>
      <x:c r="L425" s="37" t="n">
        <x:v>13</x:v>
      </x:c>
      <x:c r="M425" s="42" t="n">
        <x:f>IF(G425="","",INDEX('規格與範圍'!$B$14:$B$23,MATCH(G425,'規格與範圍'!$A$14:$A$23,0)))</x:f>
        <x:v>0.994</x:v>
      </x:c>
      <x:c r="N425" s="42" t="n">
        <x:f>IF(OR(H425="",I425="",M425=""),"",H425*I425*M425/100)</x:f>
        <x:v>38.269</x:v>
      </x:c>
      <x:c r="O425" s="36" t="str">
        <x:v>友愛街 3F梁版往上 鋼筋料單 114.08.28.XLS｜工作表 07｜原列 17｜右欄</x:v>
      </x:c>
    </x:row>
    <x:row r="426" ht="15" hidden="0" customHeight="1">
      <x:c r="A426" s="40" t="str">
        <x:v>07</x:v>
      </x:c>
      <x:c r="B426" s="40" t="str">
        <x:v>RF</x:v>
      </x:c>
      <x:c r="C426" s="40" t="str">
        <x:v>梁版及以上</x:v>
      </x:c>
      <x:c r="D426" s="40" t="str">
        <x:v>箍 筋</x:v>
      </x:c>
      <x:c r="E426" s="41" t="n">
        <x:v>18</x:v>
      </x:c>
      <x:c r="F426" s="40" t="str">
        <x:v>右欄</x:v>
      </x:c>
      <x:c r="G426" s="38" t="n">
        <x:v>3</x:v>
      </x:c>
      <x:c r="H426" s="37" t="n">
        <x:v>45</x:v>
      </x:c>
      <x:c r="I426" s="37" t="n">
        <x:v>147</x:v>
      </x:c>
      <x:c r="J426" s="37" t="n">
        <x:v>9</x:v>
      </x:c>
      <x:c r="K426" s="36" t="n">
        <x:v>25</x:v>
      </x:c>
      <x:c r="L426" s="37" t="n">
        <x:v>11</x:v>
      </x:c>
      <x:c r="M426" s="42" t="n">
        <x:f>IF(G426="","",INDEX('規格與範圍'!$B$14:$B$23,MATCH(G426,'規格與範圍'!$A$14:$A$23,0)))</x:f>
        <x:v>0.559</x:v>
      </x:c>
      <x:c r="N426" s="42" t="n">
        <x:f>IF(OR(H426="",I426="",M426=""),"",H426*I426*M426/100)</x:f>
        <x:v>36.977850000000004</x:v>
      </x:c>
      <x:c r="O426" s="36" t="str">
        <x:v>友愛街 3F梁版往上 鋼筋料單 114.08.28.XLS｜工作表 07｜原列 18｜右欄</x:v>
      </x:c>
    </x:row>
    <x:row r="427" ht="15" hidden="0" customHeight="1">
      <x:c r="A427" s="40" t="str">
        <x:v>07</x:v>
      </x:c>
      <x:c r="B427" s="40" t="str">
        <x:v>RF</x:v>
      </x:c>
      <x:c r="C427" s="40" t="str">
        <x:v>梁版及以上</x:v>
      </x:c>
      <x:c r="D427" s="40" t="str">
        <x:v>箍 筋</x:v>
      </x:c>
      <x:c r="E427" s="41" t="n">
        <x:v>19</x:v>
      </x:c>
      <x:c r="F427" s="40" t="str">
        <x:v>右欄</x:v>
      </x:c>
      <x:c r="G427" s="38" t="n">
        <x:v>3</x:v>
      </x:c>
      <x:c r="H427" s="37" t="n">
        <x:v>37</x:v>
      </x:c>
      <x:c r="I427" s="37" t="n">
        <x:v>22</x:v>
      </x:c>
      <x:c r="J427" s="37" t="n">
        <x:v>9</x:v>
      </x:c>
      <x:c r="K427" s="36" t="n">
        <x:v>17</x:v>
      </x:c>
      <x:c r="L427" s="37" t="n">
        <x:v>11</x:v>
      </x:c>
      <x:c r="M427" s="42" t="n">
        <x:f>IF(G427="","",INDEX('規格與範圍'!$B$14:$B$23,MATCH(G427,'規格與範圍'!$A$14:$A$23,0)))</x:f>
        <x:v>0.559</x:v>
      </x:c>
      <x:c r="N427" s="42" t="n">
        <x:f>IF(OR(H427="",I427="",M427=""),"",H427*I427*M427/100)</x:f>
        <x:v>4.550260000000001</x:v>
      </x:c>
      <x:c r="O427" s="36" t="str">
        <x:v>友愛街 3F梁版往上 鋼筋料單 114.08.28.XLS｜工作表 07｜原列 19｜右欄</x:v>
      </x:c>
    </x:row>
    <x:row r="428" ht="15" hidden="0" customHeight="1">
      <x:c r="A428" s="40" t="str">
        <x:v>07</x:v>
      </x:c>
      <x:c r="B428" s="40" t="str">
        <x:v>RF</x:v>
      </x:c>
      <x:c r="C428" s="40" t="str">
        <x:v>梁版及以上</x:v>
      </x:c>
      <x:c r="D428" s="40" t="str">
        <x:v>柱 收 頭</x:v>
      </x:c>
      <x:c r="E428" s="41" t="n">
        <x:v>22</x:v>
      </x:c>
      <x:c r="F428" s="40" t="str">
        <x:v>右欄</x:v>
      </x:c>
      <x:c r="G428" s="38" t="n">
        <x:v>8</x:v>
      </x:c>
      <x:c r="H428" s="37" t="n">
        <x:v>220</x:v>
      </x:c>
      <x:c r="I428" s="37" t="n">
        <x:v>14</x:v>
      </x:c>
      <x:c r="J428" s="37"/>
      <x:c r="K428" s="36" t="n">
        <x:v>180</x:v>
      </x:c>
      <x:c r="L428" s="37" t="n">
        <x:v>40</x:v>
      </x:c>
      <x:c r="M428" s="42" t="n">
        <x:f>IF(G428="","",INDEX('規格與範圍'!$B$14:$B$23,MATCH(G428,'規格與範圍'!$A$14:$A$23,0)))</x:f>
        <x:v>3.98</x:v>
      </x:c>
      <x:c r="N428" s="42" t="n">
        <x:f>IF(OR(H428="",I428="",M428=""),"",H428*I428*M428/100)</x:f>
        <x:v>122.584</x:v>
      </x:c>
      <x:c r="O428" s="36" t="str">
        <x:v>友愛街 3F梁版往上 鋼筋料單 114.08.28.XLS｜工作表 07｜原列 22｜右欄</x:v>
      </x:c>
    </x:row>
    <x:row r="429" ht="15" hidden="0" customHeight="1">
      <x:c r="A429" s="40" t="str">
        <x:v>07</x:v>
      </x:c>
      <x:c r="B429" s="40" t="str">
        <x:v>RF</x:v>
      </x:c>
      <x:c r="C429" s="40" t="str">
        <x:v>梁版及以上</x:v>
      </x:c>
      <x:c r="D429" s="40" t="str">
        <x:v>柱 收 頭</x:v>
      </x:c>
      <x:c r="E429" s="41" t="n">
        <x:v>24</x:v>
      </x:c>
      <x:c r="F429" s="40" t="str">
        <x:v>右欄</x:v>
      </x:c>
      <x:c r="G429" s="38" t="n">
        <x:v>7</x:v>
      </x:c>
      <x:c r="H429" s="37" t="n">
        <x:v>185</x:v>
      </x:c>
      <x:c r="I429" s="37" t="n">
        <x:v>64</x:v>
      </x:c>
      <x:c r="J429" s="37"/>
      <x:c r="K429" s="36" t="n">
        <x:v>150</x:v>
      </x:c>
      <x:c r="L429" s="37" t="n">
        <x:v>35</x:v>
      </x:c>
      <x:c r="M429" s="42" t="n">
        <x:f>IF(G429="","",INDEX('規格與範圍'!$B$14:$B$23,MATCH(G429,'規格與範圍'!$A$14:$A$23,0)))</x:f>
        <x:v>3.05</x:v>
      </x:c>
      <x:c r="N429" s="42" t="n">
        <x:f>IF(OR(H429="",I429="",M429=""),"",H429*I429*M429/100)</x:f>
        <x:v>361.12</x:v>
      </x:c>
      <x:c r="O429" s="36" t="str">
        <x:v>友愛街 3F梁版往上 鋼筋料單 114.08.28.XLS｜工作表 07｜原列 24｜右欄</x:v>
      </x:c>
    </x:row>
    <x:row r="430" ht="15" hidden="0" customHeight="1">
      <x:c r="A430" s="40" t="str">
        <x:v>07</x:v>
      </x:c>
      <x:c r="B430" s="40" t="str">
        <x:v>RF</x:v>
      </x:c>
      <x:c r="C430" s="40" t="str">
        <x:v>梁版及以上</x:v>
      </x:c>
      <x:c r="D430" s="40" t="str">
        <x:v>上 層 版 筋</x:v>
      </x:c>
      <x:c r="E430" s="41" t="n">
        <x:v>33</x:v>
      </x:c>
      <x:c r="F430" s="40" t="str">
        <x:v>右欄</x:v>
      </x:c>
      <x:c r="G430" s="38" t="n">
        <x:v>4</x:v>
      </x:c>
      <x:c r="H430" s="37" t="n">
        <x:v>400</x:v>
      </x:c>
      <x:c r="I430" s="37" t="n">
        <x:v>98</x:v>
      </x:c>
      <x:c r="J430" s="37"/>
      <x:c r="K430" s="36" t="n">
        <x:v>380</x:v>
      </x:c>
      <x:c r="L430" s="37" t="n">
        <x:v>20</x:v>
      </x:c>
      <x:c r="M430" s="42" t="n">
        <x:f>IF(G430="","",INDEX('規格與範圍'!$B$14:$B$23,MATCH(G430,'規格與範圍'!$A$14:$A$23,0)))</x:f>
        <x:v>0.994</x:v>
      </x:c>
      <x:c r="N430" s="42" t="n">
        <x:f>IF(OR(H430="",I430="",M430=""),"",H430*I430*M430/100)</x:f>
        <x:v>389.648</x:v>
      </x:c>
      <x:c r="O430" s="36" t="str">
        <x:v>友愛街 3F梁版往上 鋼筋料單 114.08.28.XLS｜工作表 07｜原列 33｜右欄</x:v>
      </x:c>
    </x:row>
    <x:row r="431" ht="15" hidden="0" customHeight="1">
      <x:c r="A431" s="40" t="str">
        <x:v>07</x:v>
      </x:c>
      <x:c r="B431" s="40" t="str">
        <x:v>RF</x:v>
      </x:c>
      <x:c r="C431" s="40" t="str">
        <x:v>梁版及以上</x:v>
      </x:c>
      <x:c r="D431" s="40" t="str">
        <x:v>上 層 版 筋</x:v>
      </x:c>
      <x:c r="E431" s="41" t="n">
        <x:v>34</x:v>
      </x:c>
      <x:c r="F431" s="40" t="str">
        <x:v>右欄</x:v>
      </x:c>
      <x:c r="G431" s="38" t="n">
        <x:v>4</x:v>
      </x:c>
      <x:c r="H431" s="37" t="n">
        <x:v>350</x:v>
      </x:c>
      <x:c r="I431" s="37" t="n">
        <x:v>64</x:v>
      </x:c>
      <x:c r="J431" s="37"/>
      <x:c r="K431" s="36" t="n">
        <x:v>330</x:v>
      </x:c>
      <x:c r="L431" s="37" t="n">
        <x:v>20</x:v>
      </x:c>
      <x:c r="M431" s="42" t="n">
        <x:f>IF(G431="","",INDEX('規格與範圍'!$B$14:$B$23,MATCH(G431,'規格與範圍'!$A$14:$A$23,0)))</x:f>
        <x:v>0.994</x:v>
      </x:c>
      <x:c r="N431" s="42" t="n">
        <x:f>IF(OR(H431="",I431="",M431=""),"",H431*I431*M431/100)</x:f>
        <x:v>222.65599999999998</x:v>
      </x:c>
      <x:c r="O431" s="36" t="str">
        <x:v>友愛街 3F梁版往上 鋼筋料單 114.08.28.XLS｜工作表 07｜原列 34｜右欄</x:v>
      </x:c>
    </x:row>
    <x:row r="432" ht="15" hidden="0" customHeight="1">
      <x:c r="A432" s="40" t="str">
        <x:v>07</x:v>
      </x:c>
      <x:c r="B432" s="40" t="str">
        <x:v>RF</x:v>
      </x:c>
      <x:c r="C432" s="40" t="str">
        <x:v>梁版及以上</x:v>
      </x:c>
      <x:c r="D432" s="40" t="str">
        <x:v>上 層 版 筋</x:v>
      </x:c>
      <x:c r="E432" s="41" t="n">
        <x:v>35</x:v>
      </x:c>
      <x:c r="F432" s="40" t="str">
        <x:v>右欄</x:v>
      </x:c>
      <x:c r="G432" s="38" t="n">
        <x:v>4</x:v>
      </x:c>
      <x:c r="H432" s="37" t="n">
        <x:v>300</x:v>
      </x:c>
      <x:c r="I432" s="37" t="n">
        <x:v>30</x:v>
      </x:c>
      <x:c r="J432" s="37"/>
      <x:c r="K432" s="36" t="n">
        <x:v>280</x:v>
      </x:c>
      <x:c r="L432" s="37" t="n">
        <x:v>20</x:v>
      </x:c>
      <x:c r="M432" s="42" t="n">
        <x:f>IF(G432="","",INDEX('規格與範圍'!$B$14:$B$23,MATCH(G432,'規格與範圍'!$A$14:$A$23,0)))</x:f>
        <x:v>0.994</x:v>
      </x:c>
      <x:c r="N432" s="42" t="n">
        <x:f>IF(OR(H432="",I432="",M432=""),"",H432*I432*M432/100)</x:f>
        <x:v>89.46</x:v>
      </x:c>
      <x:c r="O432" s="36" t="str">
        <x:v>友愛街 3F梁版往上 鋼筋料單 114.08.28.XLS｜工作表 07｜原列 35｜右欄</x:v>
      </x:c>
    </x:row>
    <x:row r="433" ht="15" hidden="0" customHeight="1">
      <x:c r="A433" s="40" t="str">
        <x:v>07</x:v>
      </x:c>
      <x:c r="B433" s="40" t="str">
        <x:v>RF</x:v>
      </x:c>
      <x:c r="C433" s="40" t="str">
        <x:v>梁版及以上</x:v>
      </x:c>
      <x:c r="D433" s="40" t="str">
        <x:v>上 層 版 筋</x:v>
      </x:c>
      <x:c r="E433" s="41" t="n">
        <x:v>36</x:v>
      </x:c>
      <x:c r="F433" s="40" t="str">
        <x:v>右欄</x:v>
      </x:c>
      <x:c r="G433" s="38" t="n">
        <x:v>4</x:v>
      </x:c>
      <x:c r="H433" s="37" t="n">
        <x:v>150</x:v>
      </x:c>
      <x:c r="I433" s="37" t="n">
        <x:v>48</x:v>
      </x:c>
      <x:c r="J433" s="37"/>
      <x:c r="K433" s="36" t="n">
        <x:v>130</x:v>
      </x:c>
      <x:c r="L433" s="37" t="n">
        <x:v>20</x:v>
      </x:c>
      <x:c r="M433" s="42" t="n">
        <x:f>IF(G433="","",INDEX('規格與範圍'!$B$14:$B$23,MATCH(G433,'規格與範圍'!$A$14:$A$23,0)))</x:f>
        <x:v>0.994</x:v>
      </x:c>
      <x:c r="N433" s="42" t="n">
        <x:f>IF(OR(H433="",I433="",M433=""),"",H433*I433*M433/100)</x:f>
        <x:v>71.568</x:v>
      </x:c>
      <x:c r="O433" s="36" t="str">
        <x:v>友愛街 3F梁版往上 鋼筋料單 114.08.28.XLS｜工作表 07｜原列 36｜右欄</x:v>
      </x:c>
    </x:row>
    <x:row r="434" ht="15" hidden="0" customHeight="1">
      <x:c r="A434" s="40" t="str">
        <x:v>07</x:v>
      </x:c>
      <x:c r="B434" s="40" t="str">
        <x:v>RF</x:v>
      </x:c>
      <x:c r="C434" s="40" t="str">
        <x:v>梁版及以上</x:v>
      </x:c>
      <x:c r="D434" s="40" t="str">
        <x:v>上 層 版 筋</x:v>
      </x:c>
      <x:c r="E434" s="41" t="n">
        <x:v>37</x:v>
      </x:c>
      <x:c r="F434" s="40" t="str">
        <x:v>右欄</x:v>
      </x:c>
      <x:c r="G434" s="38" t="n">
        <x:v>4</x:v>
      </x:c>
      <x:c r="H434" s="37" t="n">
        <x:v>370</x:v>
      </x:c>
      <x:c r="I434" s="37" t="n">
        <x:v>212</x:v>
      </x:c>
      <x:c r="J434" s="37"/>
      <x:c r="K434" s="36" t="n">
        <x:v>370</x:v>
      </x:c>
      <x:c r="L434" s="37"/>
      <x:c r="M434" s="42" t="n">
        <x:f>IF(G434="","",INDEX('規格與範圍'!$B$14:$B$23,MATCH(G434,'規格與範圍'!$A$14:$A$23,0)))</x:f>
        <x:v>0.994</x:v>
      </x:c>
      <x:c r="N434" s="42" t="n">
        <x:f>IF(OR(H434="",I434="",M434=""),"",H434*I434*M434/100)</x:f>
        <x:v>779.6936000000001</x:v>
      </x:c>
      <x:c r="O434" s="36" t="str">
        <x:v>友愛街 3F梁版往上 鋼筋料單 114.08.28.XLS｜工作表 07｜原列 37｜右欄</x:v>
      </x:c>
    </x:row>
    <x:row r="435" ht="15" hidden="0" customHeight="1">
      <x:c r="A435" s="40" t="str">
        <x:v>07</x:v>
      </x:c>
      <x:c r="B435" s="40" t="str">
        <x:v>RF</x:v>
      </x:c>
      <x:c r="C435" s="40" t="str">
        <x:v>梁版及以上</x:v>
      </x:c>
      <x:c r="D435" s="40" t="str">
        <x:v>上 層 版 筋</x:v>
      </x:c>
      <x:c r="E435" s="41" t="n">
        <x:v>39</x:v>
      </x:c>
      <x:c r="F435" s="40" t="str">
        <x:v>右欄</x:v>
      </x:c>
      <x:c r="G435" s="38" t="n">
        <x:v>3</x:v>
      </x:c>
      <x:c r="H435" s="37" t="n">
        <x:v>300</x:v>
      </x:c>
      <x:c r="I435" s="37" t="n">
        <x:v>69</x:v>
      </x:c>
      <x:c r="J435" s="37"/>
      <x:c r="K435" s="36" t="n">
        <x:v>285</x:v>
      </x:c>
      <x:c r="L435" s="37" t="n">
        <x:v>15</x:v>
      </x:c>
      <x:c r="M435" s="42" t="n">
        <x:f>IF(G435="","",INDEX('規格與範圍'!$B$14:$B$23,MATCH(G435,'規格與範圍'!$A$14:$A$23,0)))</x:f>
        <x:v>0.559</x:v>
      </x:c>
      <x:c r="N435" s="42" t="n">
        <x:f>IF(OR(H435="",I435="",M435=""),"",H435*I435*M435/100)</x:f>
        <x:v>115.71300000000001</x:v>
      </x:c>
      <x:c r="O435" s="36" t="str">
        <x:v>友愛街 3F梁版往上 鋼筋料單 114.08.28.XLS｜工作表 07｜原列 39｜右欄</x:v>
      </x:c>
    </x:row>
    <x:row r="436" ht="15" hidden="0" customHeight="1">
      <x:c r="A436" s="40" t="str">
        <x:v>07</x:v>
      </x:c>
      <x:c r="B436" s="40" t="str">
        <x:v>RF</x:v>
      </x:c>
      <x:c r="C436" s="40" t="str">
        <x:v>梁版及以上</x:v>
      </x:c>
      <x:c r="D436" s="40" t="str">
        <x:v>上 層 版 筋</x:v>
      </x:c>
      <x:c r="E436" s="41" t="n">
        <x:v>40</x:v>
      </x:c>
      <x:c r="F436" s="40" t="str">
        <x:v>右欄</x:v>
      </x:c>
      <x:c r="G436" s="38" t="n">
        <x:v>3</x:v>
      </x:c>
      <x:c r="H436" s="37" t="n">
        <x:v>265</x:v>
      </x:c>
      <x:c r="I436" s="37" t="n">
        <x:v>18</x:v>
      </x:c>
      <x:c r="J436" s="37"/>
      <x:c r="K436" s="36" t="n">
        <x:v>250</x:v>
      </x:c>
      <x:c r="L436" s="37" t="n">
        <x:v>15</x:v>
      </x:c>
      <x:c r="M436" s="42" t="n">
        <x:f>IF(G436="","",INDEX('規格與範圍'!$B$14:$B$23,MATCH(G436,'規格與範圍'!$A$14:$A$23,0)))</x:f>
        <x:v>0.559</x:v>
      </x:c>
      <x:c r="N436" s="42" t="n">
        <x:f>IF(OR(H436="",I436="",M436=""),"",H436*I436*M436/100)</x:f>
        <x:v>26.664300000000004</x:v>
      </x:c>
      <x:c r="O436" s="36" t="str">
        <x:v>友愛街 3F梁版往上 鋼筋料單 114.08.28.XLS｜工作表 07｜原列 40｜右欄</x:v>
      </x:c>
    </x:row>
    <x:row r="437" ht="15" hidden="0" customHeight="1">
      <x:c r="A437" s="40" t="str">
        <x:v>07</x:v>
      </x:c>
      <x:c r="B437" s="40" t="str">
        <x:v>RF</x:v>
      </x:c>
      <x:c r="C437" s="40" t="str">
        <x:v>梁版及以上</x:v>
      </x:c>
      <x:c r="D437" s="40" t="str">
        <x:v>上 層 版 筋</x:v>
      </x:c>
      <x:c r="E437" s="41" t="n">
        <x:v>41</x:v>
      </x:c>
      <x:c r="F437" s="40" t="str">
        <x:v>右欄</x:v>
      </x:c>
      <x:c r="G437" s="38" t="n">
        <x:v>3</x:v>
      </x:c>
      <x:c r="H437" s="37" t="n">
        <x:v>200</x:v>
      </x:c>
      <x:c r="I437" s="37" t="n">
        <x:v>24</x:v>
      </x:c>
      <x:c r="J437" s="37"/>
      <x:c r="K437" s="36" t="n">
        <x:v>185</x:v>
      </x:c>
      <x:c r="L437" s="37" t="n">
        <x:v>15</x:v>
      </x:c>
      <x:c r="M437" s="42" t="n">
        <x:f>IF(G437="","",INDEX('規格與範圍'!$B$14:$B$23,MATCH(G437,'規格與範圍'!$A$14:$A$23,0)))</x:f>
        <x:v>0.559</x:v>
      </x:c>
      <x:c r="N437" s="42" t="n">
        <x:f>IF(OR(H437="",I437="",M437=""),"",H437*I437*M437/100)</x:f>
        <x:v>26.832000000000004</x:v>
      </x:c>
      <x:c r="O437" s="36" t="str">
        <x:v>友愛街 3F梁版往上 鋼筋料單 114.08.28.XLS｜工作表 07｜原列 41｜右欄</x:v>
      </x:c>
    </x:row>
    <x:row r="438" ht="15" hidden="0" customHeight="1">
      <x:c r="A438" s="40" t="str">
        <x:v>07</x:v>
      </x:c>
      <x:c r="B438" s="40" t="str">
        <x:v>RF</x:v>
      </x:c>
      <x:c r="C438" s="40" t="str">
        <x:v>梁版及以上</x:v>
      </x:c>
      <x:c r="D438" s="40" t="str">
        <x:v>上 層 版 筋</x:v>
      </x:c>
      <x:c r="E438" s="41" t="n">
        <x:v>42</x:v>
      </x:c>
      <x:c r="F438" s="40" t="str">
        <x:v>右欄</x:v>
      </x:c>
      <x:c r="G438" s="38" t="n">
        <x:v>3</x:v>
      </x:c>
      <x:c r="H438" s="37" t="n">
        <x:v>150</x:v>
      </x:c>
      <x:c r="I438" s="37" t="n">
        <x:v>75</x:v>
      </x:c>
      <x:c r="J438" s="37"/>
      <x:c r="K438" s="36" t="n">
        <x:v>135</x:v>
      </x:c>
      <x:c r="L438" s="37" t="n">
        <x:v>15</x:v>
      </x:c>
      <x:c r="M438" s="42" t="n">
        <x:f>IF(G438="","",INDEX('規格與範圍'!$B$14:$B$23,MATCH(G438,'規格與範圍'!$A$14:$A$23,0)))</x:f>
        <x:v>0.559</x:v>
      </x:c>
      <x:c r="N438" s="42" t="n">
        <x:f>IF(OR(H438="",I438="",M438=""),"",H438*I438*M438/100)</x:f>
        <x:v>62.88750000000001</x:v>
      </x:c>
      <x:c r="O438" s="36" t="str">
        <x:v>友愛街 3F梁版往上 鋼筋料單 114.08.28.XLS｜工作表 07｜原列 42｜右欄</x:v>
      </x:c>
    </x:row>
    <x:row r="439" ht="15" hidden="0" customHeight="1">
      <x:c r="A439" s="40" t="str">
        <x:v>07</x:v>
      </x:c>
      <x:c r="B439" s="40" t="str">
        <x:v>RF</x:v>
      </x:c>
      <x:c r="C439" s="40" t="str">
        <x:v>梁版及以上</x:v>
      </x:c>
      <x:c r="D439" s="40" t="str">
        <x:v>牆 預 留 筋</x:v>
      </x:c>
      <x:c r="E439" s="41" t="n">
        <x:v>45</x:v>
      </x:c>
      <x:c r="F439" s="40" t="str">
        <x:v>右欄</x:v>
      </x:c>
      <x:c r="G439" s="38" t="n">
        <x:v>3</x:v>
      </x:c>
      <x:c r="H439" s="37" t="n">
        <x:v>95</x:v>
      </x:c>
      <x:c r="I439" s="37" t="n">
        <x:v>120</x:v>
      </x:c>
      <x:c r="J439" s="37"/>
      <x:c r="K439" s="36" t="n">
        <x:v>75</x:v>
      </x:c>
      <x:c r="L439" s="37" t="n">
        <x:v>20</x:v>
      </x:c>
      <x:c r="M439" s="42" t="n">
        <x:f>IF(G439="","",INDEX('規格與範圍'!$B$14:$B$23,MATCH(G439,'規格與範圍'!$A$14:$A$23,0)))</x:f>
        <x:v>0.559</x:v>
      </x:c>
      <x:c r="N439" s="42" t="n">
        <x:f>IF(OR(H439="",I439="",M439=""),"",H439*I439*M439/100)</x:f>
        <x:v>63.726000000000006</x:v>
      </x:c>
      <x:c r="O439" s="36" t="str">
        <x:v>友愛街 3F梁版往上 鋼筋料單 114.08.28.XLS｜工作表 07｜原列 45｜右欄</x:v>
      </x:c>
    </x:row>
    <x:row r="440" ht="15" hidden="0" customHeight="1">
      <x:c r="A440" s="40" t="str">
        <x:v>07</x:v>
      </x:c>
      <x:c r="B440" s="40" t="str">
        <x:v>RF</x:v>
      </x:c>
      <x:c r="C440" s="40" t="str">
        <x:v>梁版及以上</x:v>
      </x:c>
      <x:c r="D440" s="40" t="str">
        <x:v>牆 預 留 筋</x:v>
      </x:c>
      <x:c r="E440" s="41" t="n">
        <x:v>46</x:v>
      </x:c>
      <x:c r="F440" s="40" t="str">
        <x:v>右欄</x:v>
      </x:c>
      <x:c r="G440" s="38" t="n">
        <x:v>3</x:v>
      </x:c>
      <x:c r="H440" s="37" t="n">
        <x:v>55</x:v>
      </x:c>
      <x:c r="I440" s="37" t="n">
        <x:v>220</x:v>
      </x:c>
      <x:c r="J440" s="37"/>
      <x:c r="K440" s="36" t="n">
        <x:v>35</x:v>
      </x:c>
      <x:c r="L440" s="37" t="n">
        <x:v>20</x:v>
      </x:c>
      <x:c r="M440" s="42" t="n">
        <x:f>IF(G440="","",INDEX('規格與範圍'!$B$14:$B$23,MATCH(G440,'規格與範圍'!$A$14:$A$23,0)))</x:f>
        <x:v>0.559</x:v>
      </x:c>
      <x:c r="N440" s="42" t="n">
        <x:f>IF(OR(H440="",I440="",M440=""),"",H440*I440*M440/100)</x:f>
        <x:v>67.63900000000001</x:v>
      </x:c>
      <x:c r="O440" s="36" t="str">
        <x:v>友愛街 3F梁版往上 鋼筋料單 114.08.28.XLS｜工作表 07｜原列 46｜右欄</x:v>
      </x:c>
    </x:row>
    <x:row r="441" ht="15" hidden="0" customHeight="1">
      <x:c r="A441" s="40" t="str">
        <x:v>07</x:v>
      </x:c>
      <x:c r="B441" s="40" t="str">
        <x:v>RF</x:v>
      </x:c>
      <x:c r="C441" s="40" t="str">
        <x:v>梁版及以上</x:v>
      </x:c>
      <x:c r="D441" s="40" t="str">
        <x:v>牆 預 留 筋</x:v>
      </x:c>
      <x:c r="E441" s="41" t="n">
        <x:v>47</x:v>
      </x:c>
      <x:c r="F441" s="40" t="str">
        <x:v>右欄</x:v>
      </x:c>
      <x:c r="G441" s="38" t="n">
        <x:v>3</x:v>
      </x:c>
      <x:c r="H441" s="37" t="n">
        <x:v>105</x:v>
      </x:c>
      <x:c r="I441" s="37" t="n">
        <x:v>310</x:v>
      </x:c>
      <x:c r="J441" s="37"/>
      <x:c r="K441" s="36" t="n">
        <x:v>105</x:v>
      </x:c>
      <x:c r="L441" s="37"/>
      <x:c r="M441" s="42" t="n">
        <x:f>IF(G441="","",INDEX('規格與範圍'!$B$14:$B$23,MATCH(G441,'規格與範圍'!$A$14:$A$23,0)))</x:f>
        <x:v>0.559</x:v>
      </x:c>
      <x:c r="N441" s="42" t="n">
        <x:f>IF(OR(H441="",I441="",M441=""),"",H441*I441*M441/100)</x:f>
        <x:v>181.9545</x:v>
      </x:c>
      <x:c r="O441" s="36" t="str">
        <x:v>友愛街 3F梁版往上 鋼筋料單 114.08.28.XLS｜工作表 07｜原列 47｜右欄</x:v>
      </x:c>
    </x:row>
    <x:row r="442" ht="15" hidden="0" customHeight="1">
      <x:c r="A442" s="40" t="str">
        <x:v>07</x:v>
      </x:c>
      <x:c r="B442" s="40" t="str">
        <x:v>RF</x:v>
      </x:c>
      <x:c r="C442" s="40" t="str">
        <x:v>梁版及以上</x:v>
      </x:c>
      <x:c r="D442" s="40" t="str">
        <x:v>女 兒 牆 &amp; 矮 墩</x:v>
      </x:c>
      <x:c r="E442" s="41" t="n">
        <x:v>50</x:v>
      </x:c>
      <x:c r="F442" s="40" t="str">
        <x:v>右欄</x:v>
      </x:c>
      <x:c r="G442" s="38" t="n">
        <x:v>3</x:v>
      </x:c>
      <x:c r="H442" s="37" t="n">
        <x:v>200</x:v>
      </x:c>
      <x:c r="I442" s="37" t="n">
        <x:v>64</x:v>
      </x:c>
      <x:c r="J442" s="37"/>
      <x:c r="K442" s="36" t="n">
        <x:v>120</x:v>
      </x:c>
      <x:c r="L442" s="37" t="n">
        <x:v>80</x:v>
      </x:c>
      <x:c r="M442" s="42" t="n">
        <x:f>IF(G442="","",INDEX('規格與範圍'!$B$14:$B$23,MATCH(G442,'規格與範圍'!$A$14:$A$23,0)))</x:f>
        <x:v>0.559</x:v>
      </x:c>
      <x:c r="N442" s="42" t="n">
        <x:f>IF(OR(H442="",I442="",M442=""),"",H442*I442*M442/100)</x:f>
        <x:v>71.552</x:v>
      </x:c>
      <x:c r="O442" s="36" t="str">
        <x:v>友愛街 3F梁版往上 鋼筋料單 114.08.28.XLS｜工作表 07｜原列 50｜右欄</x:v>
      </x:c>
    </x:row>
    <x:row r="443" ht="15" hidden="0" customHeight="1">
      <x:c r="A443" s="40" t="str">
        <x:v>07</x:v>
      </x:c>
      <x:c r="B443" s="40" t="str">
        <x:v>RF</x:v>
      </x:c>
      <x:c r="C443" s="40" t="str">
        <x:v>梁版及以上</x:v>
      </x:c>
      <x:c r="D443" s="40" t="str">
        <x:v>女 兒 牆 &amp; 矮 墩</x:v>
      </x:c>
      <x:c r="E443" s="41" t="n">
        <x:v>51</x:v>
      </x:c>
      <x:c r="F443" s="40" t="str">
        <x:v>右欄</x:v>
      </x:c>
      <x:c r="G443" s="38" t="n">
        <x:v>3</x:v>
      </x:c>
      <x:c r="H443" s="37" t="n">
        <x:v>570</x:v>
      </x:c>
      <x:c r="I443" s="37" t="n">
        <x:v>32</x:v>
      </x:c>
      <x:c r="J443" s="37"/>
      <x:c r="K443" s="36" t="n">
        <x:v>570</x:v>
      </x:c>
      <x:c r="L443" s="37"/>
      <x:c r="M443" s="42" t="n">
        <x:f>IF(G443="","",INDEX('規格與範圍'!$B$14:$B$23,MATCH(G443,'規格與範圍'!$A$14:$A$23,0)))</x:f>
        <x:v>0.559</x:v>
      </x:c>
      <x:c r="N443" s="42" t="n">
        <x:f>IF(OR(H443="",I443="",M443=""),"",H443*I443*M443/100)</x:f>
        <x:v>101.96160000000002</x:v>
      </x:c>
      <x:c r="O443" s="36" t="str">
        <x:v>友愛街 3F梁版往上 鋼筋料單 114.08.28.XLS｜工作表 07｜原列 51｜右欄</x:v>
      </x:c>
    </x:row>
    <x:row r="444" ht="15" hidden="0" customHeight="1">
      <x:c r="A444" s="40" t="str">
        <x:v>07</x:v>
      </x:c>
      <x:c r="B444" s="40" t="str">
        <x:v>RF</x:v>
      </x:c>
      <x:c r="C444" s="40" t="str">
        <x:v>梁版及以上</x:v>
      </x:c>
      <x:c r="D444" s="40" t="str">
        <x:v>女 兒 牆 &amp; 矮 墩</x:v>
      </x:c>
      <x:c r="E444" s="41" t="n">
        <x:v>52</x:v>
      </x:c>
      <x:c r="F444" s="40" t="str">
        <x:v>右欄</x:v>
      </x:c>
      <x:c r="G444" s="38" t="n">
        <x:v>3</x:v>
      </x:c>
      <x:c r="H444" s="37" t="n">
        <x:v>480</x:v>
      </x:c>
      <x:c r="I444" s="37" t="n">
        <x:v>64</x:v>
      </x:c>
      <x:c r="J444" s="37"/>
      <x:c r="K444" s="36" t="n">
        <x:v>480</x:v>
      </x:c>
      <x:c r="L444" s="37"/>
      <x:c r="M444" s="42" t="n">
        <x:f>IF(G444="","",INDEX('規格與範圍'!$B$14:$B$23,MATCH(G444,'規格與範圍'!$A$14:$A$23,0)))</x:f>
        <x:v>0.559</x:v>
      </x:c>
      <x:c r="N444" s="42" t="n">
        <x:f>IF(OR(H444="",I444="",M444=""),"",H444*I444*M444/100)</x:f>
        <x:v>171.72480000000004</x:v>
      </x:c>
      <x:c r="O444" s="36" t="str">
        <x:v>友愛街 3F梁版往上 鋼筋料單 114.08.28.XLS｜工作表 07｜原列 52｜右欄</x:v>
      </x:c>
    </x:row>
    <x:row r="445" ht="15" hidden="0" customHeight="1">
      <x:c r="A445" s="40" t="str">
        <x:v>07</x:v>
      </x:c>
      <x:c r="B445" s="40" t="str">
        <x:v>RF</x:v>
      </x:c>
      <x:c r="C445" s="40" t="str">
        <x:v>梁版及以上</x:v>
      </x:c>
      <x:c r="D445" s="40" t="str">
        <x:v>女 兒 牆 &amp; 矮 墩</x:v>
      </x:c>
      <x:c r="E445" s="41" t="n">
        <x:v>53</x:v>
      </x:c>
      <x:c r="F445" s="40" t="str">
        <x:v>右欄</x:v>
      </x:c>
      <x:c r="G445" s="38" t="n">
        <x:v>3</x:v>
      </x:c>
      <x:c r="H445" s="37" t="n">
        <x:v>380</x:v>
      </x:c>
      <x:c r="I445" s="37" t="n">
        <x:v>4</x:v>
      </x:c>
      <x:c r="J445" s="37"/>
      <x:c r="K445" s="36" t="n">
        <x:v>380</x:v>
      </x:c>
      <x:c r="L445" s="37"/>
      <x:c r="M445" s="42" t="n">
        <x:f>IF(G445="","",INDEX('規格與範圍'!$B$14:$B$23,MATCH(G445,'規格與範圍'!$A$14:$A$23,0)))</x:f>
        <x:v>0.559</x:v>
      </x:c>
      <x:c r="N445" s="42" t="n">
        <x:f>IF(OR(H445="",I445="",M445=""),"",H445*I445*M445/100)</x:f>
        <x:v>8.4968</x:v>
      </x:c>
      <x:c r="O445" s="36" t="str">
        <x:v>友愛街 3F梁版往上 鋼筋料單 114.08.28.XLS｜工作表 07｜原列 53｜右欄</x:v>
      </x:c>
    </x:row>
    <x:row r="446" ht="15" hidden="0" customHeight="1">
      <x:c r="A446" s="40" t="str">
        <x:v>07</x:v>
      </x:c>
      <x:c r="B446" s="40" t="str">
        <x:v>RF</x:v>
      </x:c>
      <x:c r="C446" s="40" t="str">
        <x:v>梁版及以上</x:v>
      </x:c>
      <x:c r="D446" s="40" t="str">
        <x:v>女 兒 牆 &amp; 矮 墩</x:v>
      </x:c>
      <x:c r="E446" s="41" t="n">
        <x:v>54</x:v>
      </x:c>
      <x:c r="F446" s="40" t="str">
        <x:v>右欄</x:v>
      </x:c>
      <x:c r="G446" s="38" t="n">
        <x:v>3</x:v>
      </x:c>
      <x:c r="H446" s="37" t="n">
        <x:v>355</x:v>
      </x:c>
      <x:c r="I446" s="37" t="n">
        <x:v>4</x:v>
      </x:c>
      <x:c r="J446" s="37"/>
      <x:c r="K446" s="36" t="n">
        <x:v>355</x:v>
      </x:c>
      <x:c r="L446" s="37"/>
      <x:c r="M446" s="42" t="n">
        <x:f>IF(G446="","",INDEX('規格與範圍'!$B$14:$B$23,MATCH(G446,'規格與範圍'!$A$14:$A$23,0)))</x:f>
        <x:v>0.559</x:v>
      </x:c>
      <x:c r="N446" s="42" t="n">
        <x:f>IF(OR(H446="",I446="",M446=""),"",H446*I446*M446/100)</x:f>
        <x:v>7.937800000000001</x:v>
      </x:c>
      <x:c r="O446" s="36" t="str">
        <x:v>友愛街 3F梁版往上 鋼筋料單 114.08.28.XLS｜工作表 07｜原列 54｜右欄</x:v>
      </x:c>
    </x:row>
    <x:row r="447" ht="15" hidden="0" customHeight="1">
      <x:c r="A447" s="40" t="str">
        <x:v>07</x:v>
      </x:c>
      <x:c r="B447" s="40" t="str">
        <x:v>RF</x:v>
      </x:c>
      <x:c r="C447" s="40" t="str">
        <x:v>梁版及以上</x:v>
      </x:c>
      <x:c r="D447" s="40" t="str">
        <x:v>女 兒 牆 &amp; 矮 墩</x:v>
      </x:c>
      <x:c r="E447" s="41" t="n">
        <x:v>55</x:v>
      </x:c>
      <x:c r="F447" s="40" t="str">
        <x:v>右欄</x:v>
      </x:c>
      <x:c r="G447" s="38" t="n">
        <x:v>3</x:v>
      </x:c>
      <x:c r="H447" s="37" t="n">
        <x:v>240</x:v>
      </x:c>
      <x:c r="I447" s="37" t="n">
        <x:v>4</x:v>
      </x:c>
      <x:c r="J447" s="37"/>
      <x:c r="K447" s="36" t="n">
        <x:v>240</x:v>
      </x:c>
      <x:c r="L447" s="37"/>
      <x:c r="M447" s="42" t="n">
        <x:f>IF(G447="","",INDEX('規格與範圍'!$B$14:$B$23,MATCH(G447,'規格與範圍'!$A$14:$A$23,0)))</x:f>
        <x:v>0.559</x:v>
      </x:c>
      <x:c r="N447" s="42" t="n">
        <x:f>IF(OR(H447="",I447="",M447=""),"",H447*I447*M447/100)</x:f>
        <x:v>5.366400000000001</x:v>
      </x:c>
      <x:c r="O447" s="36" t="str">
        <x:v>友愛街 3F梁版往上 鋼筋料單 114.08.28.XLS｜工作表 07｜原列 55｜右欄</x:v>
      </x:c>
    </x:row>
    <x:row r="448" ht="15" hidden="0" customHeight="1">
      <x:c r="A448" s="40" t="str">
        <x:v>07</x:v>
      </x:c>
      <x:c r="B448" s="40" t="str">
        <x:v>RF</x:v>
      </x:c>
      <x:c r="C448" s="40" t="str">
        <x:v>梁版及以上</x:v>
      </x:c>
      <x:c r="D448" s="40" t="str">
        <x:v>女 兒 牆 &amp; 矮 墩</x:v>
      </x:c>
      <x:c r="E448" s="41" t="n">
        <x:v>56</x:v>
      </x:c>
      <x:c r="F448" s="40" t="str">
        <x:v>右欄</x:v>
      </x:c>
      <x:c r="G448" s="38" t="n">
        <x:v>3</x:v>
      </x:c>
      <x:c r="H448" s="37" t="n">
        <x:v>145</x:v>
      </x:c>
      <x:c r="I448" s="37" t="n">
        <x:v>430</x:v>
      </x:c>
      <x:c r="J448" s="37"/>
      <x:c r="K448" s="36" t="n">
        <x:v>145</x:v>
      </x:c>
      <x:c r="L448" s="37"/>
      <x:c r="M448" s="42" t="n">
        <x:f>IF(G448="","",INDEX('規格與範圍'!$B$14:$B$23,MATCH(G448,'規格與範圍'!$A$14:$A$23,0)))</x:f>
        <x:v>0.559</x:v>
      </x:c>
      <x:c r="N448" s="42" t="n">
        <x:f>IF(OR(H448="",I448="",M448=""),"",H448*I448*M448/100)</x:f>
        <x:v>348.5365</x:v>
      </x:c>
      <x:c r="O448" s="36" t="str">
        <x:v>友愛街 3F梁版往上 鋼筋料單 114.08.28.XLS｜工作表 07｜原列 56｜右欄</x:v>
      </x:c>
    </x:row>
    <x:row r="449" ht="15" hidden="0" customHeight="1">
      <x:c r="A449" s="40" t="str">
        <x:v>07</x:v>
      </x:c>
      <x:c r="B449" s="40" t="str">
        <x:v>RF</x:v>
      </x:c>
      <x:c r="C449" s="40" t="str">
        <x:v>梁版及以上</x:v>
      </x:c>
      <x:c r="D449" s="40" t="str">
        <x:v>女 兒 牆 &amp; 矮 墩</x:v>
      </x:c>
      <x:c r="E449" s="41" t="n">
        <x:v>57</x:v>
      </x:c>
      <x:c r="F449" s="40" t="str">
        <x:v>右欄</x:v>
      </x:c>
      <x:c r="G449" s="38" t="n">
        <x:v>3</x:v>
      </x:c>
      <x:c r="H449" s="37" t="n">
        <x:v>105</x:v>
      </x:c>
      <x:c r="I449" s="37" t="n">
        <x:v>4</x:v>
      </x:c>
      <x:c r="J449" s="37"/>
      <x:c r="K449" s="36" t="n">
        <x:v>105</x:v>
      </x:c>
      <x:c r="L449" s="37"/>
      <x:c r="M449" s="42" t="n">
        <x:f>IF(G449="","",INDEX('規格與範圍'!$B$14:$B$23,MATCH(G449,'規格與範圍'!$A$14:$A$23,0)))</x:f>
        <x:v>0.559</x:v>
      </x:c>
      <x:c r="N449" s="42" t="n">
        <x:f>IF(OR(H449="",I449="",M449=""),"",H449*I449*M449/100)</x:f>
        <x:v>2.3478000000000003</x:v>
      </x:c>
      <x:c r="O449" s="36" t="str">
        <x:v>友愛街 3F梁版往上 鋼筋料單 114.08.28.XLS｜工作表 07｜原列 57｜右欄</x:v>
      </x:c>
    </x:row>
    <x:row r="450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</x:row>
    <x:row r="45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</x:row>
    <x:row r="452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</x:row>
    <x:row r="453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</x:row>
    <x:row r="454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</x:row>
    <x:row r="455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</x:row>
    <x:row r="456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</x:row>
    <x:row r="457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</x:row>
    <x:row r="458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</x:row>
    <x:row r="459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</x:row>
    <x:row r="460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</x:row>
    <x:row r="46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</x:row>
    <x:row r="462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</x:row>
    <x:row r="463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</x:row>
    <x:row r="464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</x:row>
    <x:row r="465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</x:row>
    <x:row r="466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</x:row>
    <x:row r="467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</x:row>
    <x:row r="468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</x:row>
    <x:row r="469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</x:row>
    <x:row r="470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</x:row>
    <x:row r="47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</x:row>
    <x:row r="472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</x:row>
    <x:row r="473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</x:row>
    <x:row r="474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</x:row>
    <x:row r="475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</x:row>
    <x:row r="476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</x:row>
    <x:row r="477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</x:row>
    <x:row r="478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</x:row>
    <x:row r="479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</x:row>
    <x:row r="480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</x:row>
    <x:row r="48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</x:row>
    <x:row r="482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</x:row>
    <x:row r="483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</x:row>
    <x:row r="484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</x:row>
    <x:row r="485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</x:row>
    <x:row r="486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</x:row>
    <x:row r="487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</x:row>
    <x:row r="488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</x:row>
    <x:row r="489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</x:row>
    <x:row r="490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</x:row>
    <x:row r="49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</x:row>
    <x:row r="492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</x:row>
    <x:row r="493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</x:row>
    <x:row r="494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</x:row>
    <x:row r="495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</x:row>
    <x:row r="496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</x:row>
    <x:row r="497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</x:row>
    <x:row r="498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</x:row>
    <x:row r="499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</x:row>
    <x:row r="500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/>
  </x:sheetViews>
  <x:sheetFormatPr defaultRowHeight="15"/>
  <x:cols>
    <x:col min="1" max="1" width="16" hidden="0" customWidth="1"/>
    <x:col min="2" max="2" width="62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</x:cols>
  <x:sheetData>
    <x:row r="1" ht="18" hidden="0" customHeight="1">
      <x:c r="A1" s="50" t="str">
        <x:v>規格、來源與範圍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15" hidden="0" customHeight="1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</x:row>
    <x:row r="3" ht="15" hidden="0" customHeight="1">
      <x:c r="A3" s="13" t="str">
        <x:v>案件</x:v>
      </x:c>
      <x:c r="B3" s="47" t="str">
        <x:v>友愛街｜陳瑞淇住宅</x:v>
      </x:c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</x:row>
    <x:row r="4" ht="15" hidden="0" customHeight="1">
      <x:c r="A4" s="13" t="str">
        <x:v>本次範圍</x:v>
      </x:c>
      <x:c r="B4" s="47" t="str">
        <x:v>3F梁版／柱牆、4F梁版／柱牆、5F梁版／柱牆、RF梁版及以上</x:v>
      </x:c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</x:row>
    <x:row r="5" ht="15" hidden="0" customHeight="1">
      <x:c r="A5" s="13" t="str">
        <x:v>圖面來源</x:v>
      </x:c>
      <x:c r="B5" s="47" t="str">
        <x:v>友愛街 3F梁版以上 114.08.28.pdf（90 頁）</x:v>
      </x:c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</x:row>
    <x:row r="6" ht="15" hidden="0" customHeight="1">
      <x:c r="A6" s="13" t="str">
        <x:v>料單來源</x:v>
      </x:c>
      <x:c r="B6" s="47" t="str">
        <x:v>友愛街 3F梁版往上 鋼筋料單 114.08.28.XLS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</x:row>
    <x:row r="7" ht="15" hidden="0" customHeight="1">
      <x:c r="A7" s="13" t="str">
        <x:v>計算公式</x:v>
      </x:c>
      <x:c r="B7" s="47" t="str">
        <x:v>重量 (kg) = 長度 (cm) × 數量 (支) × 單位重量 (kg/m) ÷ 100</x:v>
      </x:c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</x:row>
    <x:row r="8" ht="15" hidden="0" customHeight="1">
      <x:c r="A8" s="13" t="str">
        <x:v>不含項目</x:v>
      </x:c>
      <x:c r="B8" s="47" t="str">
        <x:v>型鋼、鋼板、螺栓、其他鋼材</x:v>
      </x:c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</x:row>
    <x:row r="9" ht="15" hidden="0" customHeight="1">
      <x:c r="A9" s="13" t="str">
        <x:v>未納入範圍</x:v>
      </x:c>
      <x:c r="B9" s="47" t="str">
        <x:v>1F、2F、基礎；目前資料夾未見可對應之本次料單來源</x:v>
      </x:c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</x:row>
    <x:row r="10" ht="15" hidden="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</x:row>
    <x:row r="11" ht="15" hidden="0" customHeight="1">
      <x:c r="A11" s="53" t="str">
        <x:v>鋼筋單位重量</x:v>
      </x:c>
      <x:c r="B11" s="55"/>
      <x:c r="C11" s="51"/>
      <x:c r="D11" s="53" t="str">
        <x:v>工作表對照</x:v>
      </x:c>
      <x:c r="E11" s="54"/>
      <x:c r="F11" s="54"/>
      <x:c r="G11" s="55"/>
      <x:c r="H11" s="51"/>
      <x:c r="I11" s="51"/>
      <x:c r="J11" s="51"/>
      <x:c r="K11" s="51"/>
      <x:c r="L11" s="51"/>
      <x:c r="M11" s="51"/>
      <x:c r="N11" s="51"/>
      <x:c r="O11" s="51"/>
    </x:row>
    <x:row r="12" ht="15" hidden="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</x:row>
    <x:row r="13" ht="15" hidden="0" customHeight="1">
      <x:c r="A13" s="25" t="str">
        <x:v>規格</x:v>
      </x:c>
      <x:c r="B13" s="25" t="str">
        <x:v>單位重量 (kg/m)</x:v>
      </x:c>
      <x:c r="C13" s="51"/>
      <x:c r="D13" s="25" t="str">
        <x:v>工作表</x:v>
      </x:c>
      <x:c r="E13" s="25" t="str">
        <x:v>樓層</x:v>
      </x:c>
      <x:c r="F13" s="25" t="str">
        <x:v>部位</x:v>
      </x:c>
      <x:c r="G13" s="25" t="str">
        <x:v>原料單重量 (kg)</x:v>
      </x:c>
      <x:c r="H13" s="51"/>
      <x:c r="I13" s="51"/>
      <x:c r="J13" s="51"/>
      <x:c r="K13" s="51"/>
      <x:c r="L13" s="51"/>
      <x:c r="M13" s="51"/>
      <x:c r="N13" s="51"/>
      <x:c r="O13" s="51"/>
    </x:row>
    <x:row r="14" ht="15" hidden="0" customHeight="1">
      <x:c r="A14" s="10" t="n">
        <x:v>3</x:v>
      </x:c>
      <x:c r="B14" s="56" t="n">
        <x:v>0.559</x:v>
      </x:c>
      <x:c r="C14" s="51"/>
      <x:c r="D14" s="10" t="str">
        <x:v>01</x:v>
      </x:c>
      <x:c r="E14" s="10" t="str">
        <x:v>3F</x:v>
      </x:c>
      <x:c r="F14" s="10" t="str">
        <x:v>梁版</x:v>
      </x:c>
      <x:c r="G14" s="28" t="n">
        <x:v>9164</x:v>
      </x:c>
      <x:c r="H14" s="51"/>
      <x:c r="I14" s="51"/>
      <x:c r="J14" s="51"/>
      <x:c r="K14" s="51"/>
      <x:c r="L14" s="51"/>
      <x:c r="M14" s="51"/>
      <x:c r="N14" s="51"/>
      <x:c r="O14" s="51"/>
    </x:row>
    <x:row r="15" ht="15" hidden="0" customHeight="1">
      <x:c r="A15" s="10" t="n">
        <x:v>4</x:v>
      </x:c>
      <x:c r="B15" s="56" t="n">
        <x:v>0.994</x:v>
      </x:c>
      <x:c r="C15" s="51"/>
      <x:c r="D15" s="10" t="str">
        <x:v>02</x:v>
      </x:c>
      <x:c r="E15" s="10" t="str">
        <x:v>3F</x:v>
      </x:c>
      <x:c r="F15" s="10" t="str">
        <x:v>柱牆</x:v>
      </x:c>
      <x:c r="G15" s="28" t="n">
        <x:v>7349</x:v>
      </x:c>
      <x:c r="H15" s="51"/>
      <x:c r="I15" s="51"/>
      <x:c r="J15" s="51"/>
      <x:c r="K15" s="51"/>
      <x:c r="L15" s="51"/>
      <x:c r="M15" s="51"/>
      <x:c r="N15" s="51"/>
      <x:c r="O15" s="51"/>
    </x:row>
    <x:row r="16" ht="15" hidden="0" customHeight="1">
      <x:c r="A16" s="10" t="n">
        <x:v>5</x:v>
      </x:c>
      <x:c r="B16" s="56" t="n">
        <x:v>1.56</x:v>
      </x:c>
      <x:c r="C16" s="51"/>
      <x:c r="D16" s="10" t="str">
        <x:v>03</x:v>
      </x:c>
      <x:c r="E16" s="10" t="str">
        <x:v>4F</x:v>
      </x:c>
      <x:c r="F16" s="10" t="str">
        <x:v>梁版</x:v>
      </x:c>
      <x:c r="G16" s="28" t="n">
        <x:v>9135</x:v>
      </x:c>
      <x:c r="H16" s="51"/>
      <x:c r="I16" s="51"/>
      <x:c r="J16" s="51"/>
      <x:c r="K16" s="51"/>
      <x:c r="L16" s="51"/>
      <x:c r="M16" s="51"/>
      <x:c r="N16" s="51"/>
      <x:c r="O16" s="51"/>
    </x:row>
    <x:row r="17" ht="15" hidden="0" customHeight="1">
      <x:c r="A17" s="10" t="n">
        <x:v>6</x:v>
      </x:c>
      <x:c r="B17" s="56" t="n">
        <x:v>2.25</x:v>
      </x:c>
      <x:c r="C17" s="51"/>
      <x:c r="D17" s="10" t="str">
        <x:v>04</x:v>
      </x:c>
      <x:c r="E17" s="10" t="str">
        <x:v>4F</x:v>
      </x:c>
      <x:c r="F17" s="10" t="str">
        <x:v>柱牆</x:v>
      </x:c>
      <x:c r="G17" s="28" t="n">
        <x:v>6894</x:v>
      </x:c>
      <x:c r="H17" s="51"/>
      <x:c r="I17" s="51"/>
      <x:c r="J17" s="51"/>
      <x:c r="K17" s="51"/>
      <x:c r="L17" s="51"/>
      <x:c r="M17" s="51"/>
      <x:c r="N17" s="51"/>
      <x:c r="O17" s="51"/>
    </x:row>
    <x:row r="18" ht="15" hidden="0" customHeight="1">
      <x:c r="A18" s="10" t="n">
        <x:v>7</x:v>
      </x:c>
      <x:c r="B18" s="56" t="n">
        <x:v>3.05</x:v>
      </x:c>
      <x:c r="C18" s="51"/>
      <x:c r="D18" s="10" t="str">
        <x:v>05</x:v>
      </x:c>
      <x:c r="E18" s="10" t="str">
        <x:v>5F</x:v>
      </x:c>
      <x:c r="F18" s="10" t="str">
        <x:v>梁版</x:v>
      </x:c>
      <x:c r="G18" s="28" t="n">
        <x:v>10746</x:v>
      </x:c>
      <x:c r="H18" s="51"/>
      <x:c r="I18" s="51"/>
      <x:c r="J18" s="51"/>
      <x:c r="K18" s="51"/>
      <x:c r="L18" s="51"/>
      <x:c r="M18" s="51"/>
      <x:c r="N18" s="51"/>
      <x:c r="O18" s="51"/>
    </x:row>
    <x:row r="19" ht="15" hidden="0" customHeight="1">
      <x:c r="A19" s="10" t="n">
        <x:v>8</x:v>
      </x:c>
      <x:c r="B19" s="56" t="n">
        <x:v>3.98</x:v>
      </x:c>
      <x:c r="C19" s="51"/>
      <x:c r="D19" s="10" t="str">
        <x:v>06</x:v>
      </x:c>
      <x:c r="E19" s="10" t="str">
        <x:v>5F</x:v>
      </x:c>
      <x:c r="F19" s="10" t="str">
        <x:v>柱牆</x:v>
      </x:c>
      <x:c r="G19" s="28" t="n">
        <x:v>5241</x:v>
      </x:c>
      <x:c r="H19" s="51"/>
      <x:c r="I19" s="51"/>
      <x:c r="J19" s="51"/>
      <x:c r="K19" s="51"/>
      <x:c r="L19" s="51"/>
      <x:c r="M19" s="51"/>
      <x:c r="N19" s="51"/>
      <x:c r="O19" s="51"/>
    </x:row>
    <x:row r="20" ht="15" hidden="0" customHeight="1">
      <x:c r="A20" s="10" t="n">
        <x:v>9</x:v>
      </x:c>
      <x:c r="B20" s="56" t="n">
        <x:v>5.08</x:v>
      </x:c>
      <x:c r="C20" s="51"/>
      <x:c r="D20" s="10" t="str">
        <x:v>07</x:v>
      </x:c>
      <x:c r="E20" s="10" t="str">
        <x:v>RF</x:v>
      </x:c>
      <x:c r="F20" s="10" t="str">
        <x:v>梁版及以上</x:v>
      </x:c>
      <x:c r="G20" s="28" t="n">
        <x:v>7284</x:v>
      </x:c>
      <x:c r="H20" s="51"/>
      <x:c r="I20" s="51"/>
      <x:c r="J20" s="51"/>
      <x:c r="K20" s="51"/>
      <x:c r="L20" s="51"/>
      <x:c r="M20" s="51"/>
      <x:c r="N20" s="51"/>
      <x:c r="O20" s="51"/>
    </x:row>
    <x:row r="21" ht="15" hidden="0" customHeight="1">
      <x:c r="A21" s="10" t="n">
        <x:v>10</x:v>
      </x:c>
      <x:c r="B21" s="56" t="n">
        <x:v>6.39</x:v>
      </x:c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</x:row>
    <x:row r="22" ht="15" hidden="0" customHeight="1">
      <x:c r="A22" s="10" t="n">
        <x:v>11</x:v>
      </x:c>
      <x:c r="B22" s="56" t="n">
        <x:v>7.9</x:v>
      </x:c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</x:row>
    <x:row r="23" ht="15" hidden="0" customHeight="1">
      <x:c r="A23" s="10" t="n">
        <x:v>12</x:v>
      </x:c>
      <x:c r="B23" s="56" t="n">
        <x:v>9.57</x:v>
      </x:c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</x:row>
    <x:row r="30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</x:row>
    <x:row r="302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</x:row>
    <x:row r="303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</x:row>
    <x:row r="304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</x:row>
    <x:row r="305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</x:row>
    <x:row r="306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</x:row>
    <x:row r="307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</x:row>
    <x:row r="308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</x:row>
    <x:row r="309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</x:row>
    <x:row r="310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</x:row>
    <x:row r="31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</x:row>
    <x:row r="312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</x:row>
    <x:row r="313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</x:row>
    <x:row r="314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</x:row>
    <x:row r="315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</x:row>
    <x:row r="316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</x:row>
    <x:row r="317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</x:row>
    <x:row r="318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</x:row>
    <x:row r="319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</x:row>
    <x:row r="320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</x:row>
    <x:row r="32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</x:row>
    <x:row r="322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</x:row>
    <x:row r="323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</x:row>
    <x:row r="324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</x:row>
    <x:row r="325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</x:row>
    <x:row r="326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</x:row>
    <x:row r="327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</x:row>
    <x:row r="328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</x:row>
    <x:row r="329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</x:row>
    <x:row r="330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</x:row>
    <x:row r="33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</x:row>
    <x:row r="332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</x:row>
    <x:row r="333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</x:row>
    <x:row r="334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</x:row>
    <x:row r="335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</x:row>
    <x:row r="336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</x:row>
    <x:row r="337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</x:row>
    <x:row r="338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</x:row>
    <x:row r="339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</x:row>
    <x:row r="340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</x:row>
    <x:row r="34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</x:row>
    <x:row r="342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</x:row>
    <x:row r="343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</x:row>
    <x:row r="344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</x:row>
    <x:row r="345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</x:row>
    <x:row r="346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</x:row>
    <x:row r="347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</x:row>
    <x:row r="348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</x:row>
    <x:row r="349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</x:row>
    <x:row r="350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</x:row>
    <x:row r="35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</x:row>
    <x:row r="352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</x:row>
    <x:row r="353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</x:row>
    <x:row r="354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</x:row>
    <x:row r="355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</x:row>
    <x:row r="356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</x:row>
    <x:row r="357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</x:row>
    <x:row r="358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</x:row>
    <x:row r="359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</x:row>
    <x:row r="360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</x:row>
    <x:row r="36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</x:row>
    <x:row r="362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</x:row>
    <x:row r="363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</x:row>
    <x:row r="364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</x:row>
    <x:row r="365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</x:row>
    <x:row r="366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</x:row>
    <x:row r="367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</x:row>
    <x:row r="368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</x:row>
    <x:row r="369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</x:row>
    <x:row r="370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</x:row>
    <x:row r="37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</x:row>
    <x:row r="372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</x:row>
    <x:row r="373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</x:row>
    <x:row r="374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</x:row>
    <x:row r="375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</x:row>
    <x:row r="376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</x:row>
    <x:row r="377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</x:row>
    <x:row r="378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</x:row>
    <x:row r="379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</x:row>
    <x:row r="380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</x:row>
    <x:row r="38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</x:row>
    <x:row r="382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</x:row>
    <x:row r="383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</x:row>
    <x:row r="384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</x:row>
    <x:row r="385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</x:row>
    <x:row r="386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</x:row>
    <x:row r="387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</x:row>
    <x:row r="388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</x:row>
    <x:row r="389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</x:row>
    <x:row r="390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</x:row>
    <x:row r="39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</x:row>
    <x:row r="392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</x:row>
    <x:row r="393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</x:row>
    <x:row r="394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</x:row>
    <x:row r="395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</x:row>
    <x:row r="396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</x:row>
    <x:row r="397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</x:row>
    <x:row r="398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</x:row>
    <x:row r="399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</x:row>
    <x:row r="400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</x:row>
    <x:row r="40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</x:row>
    <x:row r="402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</x:row>
    <x:row r="403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</x:row>
    <x:row r="404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</x:row>
    <x:row r="405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</x:row>
    <x:row r="406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</x:row>
    <x:row r="407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</x:row>
    <x:row r="408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</x:row>
    <x:row r="409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</x:row>
    <x:row r="410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</x:row>
    <x:row r="41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</x:row>
    <x:row r="412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</x:row>
    <x:row r="413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</x:row>
    <x:row r="414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</x:row>
    <x:row r="415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</x:row>
    <x:row r="416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</x:row>
    <x:row r="417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</x:row>
    <x:row r="418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</x:row>
    <x:row r="419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</x:row>
    <x:row r="420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</x:row>
    <x:row r="42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</x:row>
    <x:row r="422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</x:row>
    <x:row r="423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</x:row>
    <x:row r="424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</x:row>
    <x:row r="425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</x:row>
    <x:row r="426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</x:row>
    <x:row r="427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</x:row>
    <x:row r="428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</x:row>
    <x:row r="429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</x:row>
    <x:row r="430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</x:row>
    <x:row r="43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</x:row>
    <x:row r="432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</x:row>
    <x:row r="433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</x:row>
    <x:row r="434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</x:row>
    <x:row r="435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</x:row>
    <x:row r="436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</x:row>
    <x:row r="437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</x:row>
    <x:row r="438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</x:row>
    <x:row r="439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</x:row>
    <x:row r="440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</x:row>
    <x:row r="44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</x:row>
    <x:row r="442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</x:row>
    <x:row r="443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</x:row>
    <x:row r="444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</x:row>
    <x:row r="445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</x:row>
    <x:row r="446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</x:row>
    <x:row r="447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</x:row>
    <x:row r="448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</x:row>
    <x:row r="449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</x:row>
    <x:row r="450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</x:row>
    <x:row r="45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</x:row>
    <x:row r="452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</x:row>
    <x:row r="453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</x:row>
    <x:row r="454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</x:row>
    <x:row r="455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</x:row>
    <x:row r="456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</x:row>
    <x:row r="457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</x:row>
    <x:row r="458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</x:row>
    <x:row r="459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</x:row>
    <x:row r="460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</x:row>
    <x:row r="46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</x:row>
    <x:row r="462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</x:row>
    <x:row r="463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</x:row>
    <x:row r="464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</x:row>
    <x:row r="465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</x:row>
    <x:row r="466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</x:row>
    <x:row r="467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</x:row>
    <x:row r="468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</x:row>
    <x:row r="469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</x:row>
    <x:row r="470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</x:row>
    <x:row r="47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</x:row>
    <x:row r="472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</x:row>
    <x:row r="473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</x:row>
    <x:row r="474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</x:row>
    <x:row r="475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</x:row>
    <x:row r="476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</x:row>
    <x:row r="477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</x:row>
    <x:row r="478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</x:row>
    <x:row r="479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</x:row>
    <x:row r="480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</x:row>
    <x:row r="48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</x:row>
    <x:row r="482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</x:row>
    <x:row r="483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</x:row>
    <x:row r="484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</x:row>
    <x:row r="485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</x:row>
    <x:row r="486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</x:row>
    <x:row r="487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</x:row>
    <x:row r="488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</x:row>
    <x:row r="489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</x:row>
    <x:row r="490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</x:row>
    <x:row r="49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</x:row>
    <x:row r="492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</x:row>
    <x:row r="493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</x:row>
    <x:row r="494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</x:row>
    <x:row r="495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</x:row>
    <x:row r="496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</x:row>
    <x:row r="497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</x:row>
    <x:row r="498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</x:row>
    <x:row r="499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</x:row>
    <x:row r="500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</x:row>
  </x:sheetData>
  <x:pageMargins left="0.7" right="0.7" top="0.75" bottom="0.75" header="0.3" footer="0.3"/>
</x:worksheet>
</file>